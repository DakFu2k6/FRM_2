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Q10_Decisions" sheetId="2" r:id="rId2"/>
    <sheet name="Q10_Waterfall" sheetId="3" r:id="rId3"/>
    <sheet name="Check" sheetId="4" r:id="rId4"/>
    <sheet name="Tool_snapshot" sheetId="5" r:id="rId5"/>
  </sheets>
  <calcPr calcId="124519" fullCalcOnLoad="1"/>
</workbook>
</file>

<file path=xl/sharedStrings.xml><?xml version="1.0" encoding="utf-8"?>
<sst xmlns="http://schemas.openxmlformats.org/spreadsheetml/2006/main" count="152" uniqueCount="104">
  <si>
    <t>Q10 — Quyết định cho từng cột</t>
  </si>
  <si>
    <t>Vẽ waterfall thể hiện quá trình lựa chọn thuộc tính: đánh giá pháp lý, chất lượng dữ liệu, cụm tương quan trên dữ liệu thô, IV, rank-ordering, chiều WoE, PSI, tương quan sau binning, tính hợp lý nghiệp vụ.</t>
  </si>
  <si>
    <t>Cột</t>
  </si>
  <si>
    <t>Vai trò</t>
  </si>
  <si>
    <t>Bị loại ở bước</t>
  </si>
  <si>
    <t>IV</t>
  </si>
  <si>
    <t>Căn cứ</t>
  </si>
  <si>
    <t>app_id</t>
  </si>
  <si>
    <t>Hệ thống / kết quả</t>
  </si>
  <si>
    <t>—</t>
  </si>
  <si>
    <t>app_date</t>
  </si>
  <si>
    <t>channel</t>
  </si>
  <si>
    <t>Phân khúc</t>
  </si>
  <si>
    <t>customer_type</t>
  </si>
  <si>
    <t>province</t>
  </si>
  <si>
    <t>region</t>
  </si>
  <si>
    <t>loan_amount_mil</t>
  </si>
  <si>
    <t>Đặc trưng</t>
  </si>
  <si>
    <t>4 IV</t>
  </si>
  <si>
    <t>IV 0,004 &lt; 0,02 (Q8).</t>
  </si>
  <si>
    <t>age</t>
  </si>
  <si>
    <t>— giữ</t>
  </si>
  <si>
    <t>gender</t>
  </si>
  <si>
    <t>1 Đánh giá pháp lý</t>
  </si>
  <si>
    <t>Biến nhạy cảm (từ điển dữ liệu): không được dùng trong mô hình.</t>
  </si>
  <si>
    <t>occupation</t>
  </si>
  <si>
    <t>5 Rank-ordering / chiều WoE</t>
  </si>
  <si>
    <t>Thứ tự WoE của các nghề nghiệp không giải thích được về kinh doanh (Q8).</t>
  </si>
  <si>
    <t>home_status</t>
  </si>
  <si>
    <t>income_mil</t>
  </si>
  <si>
    <t>work_months</t>
  </si>
  <si>
    <t>dti_pct</t>
  </si>
  <si>
    <t>cic_hist_months</t>
  </si>
  <si>
    <t>num_lenders</t>
  </si>
  <si>
    <t>card_util_pct</t>
  </si>
  <si>
    <t>inq_6m</t>
  </si>
  <si>
    <t>dpd_cnt_6m</t>
  </si>
  <si>
    <t>3 Tương quan dữ liệu thô (Q7)</t>
  </si>
  <si>
    <t>Spearman 0,87 với dpd_cnt_12m (IV cao hơn), Q7.</t>
  </si>
  <si>
    <t>dpd_cnt_12m</t>
  </si>
  <si>
    <t>deposit_avg_3m_mil</t>
  </si>
  <si>
    <t>curr_max_cic_group</t>
  </si>
  <si>
    <t>Quy tắc chính sách</t>
  </si>
  <si>
    <t>decision</t>
  </si>
  <si>
    <t>perf_class</t>
  </si>
  <si>
    <t>exclusion_reason</t>
  </si>
  <si>
    <t>indeterminate_reason</t>
  </si>
  <si>
    <t>max_dpd_12m</t>
  </si>
  <si>
    <t>target</t>
  </si>
  <si>
    <t>Q10 — Waterfall: từ mọi cột đến các đặc trưng đưa vào mô hình</t>
  </si>
  <si>
    <t>Mỗi cột trừ đi số cột bị loại ở bước đó; cột cuối là phần đi vào hồi quy.</t>
  </si>
  <si>
    <t>Bước</t>
  </si>
  <si>
    <t>Bị loại</t>
  </si>
  <si>
    <t>Còn lại</t>
  </si>
  <si>
    <t>Nền (ẩn)</t>
  </si>
  <si>
    <t>Thanh</t>
  </si>
  <si>
    <t>Số cột trong file phát triển</t>
  </si>
  <si>
    <t>− Cột hệ thống / kết quả</t>
  </si>
  <si>
    <t>− Cột quy tắc chính sách</t>
  </si>
  <si>
    <t>− Cột phân khúc</t>
  </si>
  <si>
    <t>= Đặc trưng ứng viên</t>
  </si>
  <si>
    <t>− Đánh giá pháp lý</t>
  </si>
  <si>
    <t>− Chất lượng dữ liệu</t>
  </si>
  <si>
    <t>− Tương quan dữ liệu thô (Q7)</t>
  </si>
  <si>
    <t>− IV</t>
  </si>
  <si>
    <t>− Rank-ordering / chiều WoE</t>
  </si>
  <si>
    <t>− Độ ổn định (PSI)</t>
  </si>
  <si>
    <t>− Tương quan sau binning (Q9)</t>
  </si>
  <si>
    <t>− Hợp lý nghiệp vụ</t>
  </si>
  <si>
    <t>= Đặc trưng đưa vào mô hình</t>
  </si>
  <si>
    <t>Cách đọc bảng này</t>
  </si>
  <si>
    <t>COUNTIF trên Q10_Decisions: số cột có vai trò này hoặc bị loại ở bước này.</t>
  </si>
  <si>
    <t>Còn lại trước đó − bị loại.</t>
  </si>
  <si>
    <t>Biểu đồ</t>
  </si>
  <si>
    <t>Biểu đồ cột chồng với chuỗi “Nền” ẩn: mỗi thanh xanh bắt đầu tại chỗ tổng trước kết thúc (cách vẽ waterfall cổ điển trong Excel).</t>
  </si>
  <si>
    <t>Bước có 0</t>
  </si>
  <si>
    <t>Chất lượng dữ liệu, độ ổn định (PSI), tương quan sau binning và hợp lý nghiệp vụ không loại biến nào; vẫn giữ trên biểu đồ để thể hiện đã kiểm tra.</t>
  </si>
  <si>
    <t>Trả lời / khuyến nghị</t>
  </si>
  <si>
    <t>28 cột → 9 cột hệ thống / kết quả và chính sách cùng 4 cột phân khúc không phải ứng viên → 15 đặc trưng ứng viên. Bị loại: gender (pháp lý), dpd_cnt_6m (tương quan dữ liệu thô với dpd_cnt_12m), loan_amount_mil (IV &lt; 0,02), occupation (thứ tự WoE không giải thích được). Chất lượng dữ liệu, độ ổn định, tương quan sau binning và hợp lý nghiệp vụ không loại biến nào. 11 đặc trưng đi vào hồi quy, trong khoảng 8–15 thường gặp (tr. 200).</t>
  </si>
  <si>
    <t>Q10 — Waterfall chọn đặc trưng</t>
  </si>
  <si>
    <t>Câu 10: waterfall chọn biến, dựng bằng COUNTIF từ bảng quyết định.</t>
  </si>
  <si>
    <t>Sheet</t>
  </si>
  <si>
    <t>Nội dung</t>
  </si>
  <si>
    <t>Q10_Waterfall</t>
  </si>
  <si>
    <t>Bảng và biểu đồ waterfall.</t>
  </si>
  <si>
    <t>Q10_Decisions</t>
  </si>
  <si>
    <t>Mọi cột của file phát triển kèm vai trò và bước đã loại nó.</t>
  </si>
  <si>
    <t>Màu ô</t>
  </si>
  <si>
    <t>Xanh = công thức Excel · Vàng = ô có thể sửa · Trắng = dữ liệu (chép từ file CSV) · Khung vàng đậm = trả lời / khuyến nghị.</t>
  </si>
  <si>
    <t>Đối chiếu</t>
  </si>
  <si>
    <t>Sheet “Check” so từng kết quả chính của Excel với số mà Credit Risk Modelling Tool hiển thị (xem sheet “Tool_snapshot”). Mọi dòng phải là “Khớp”.</t>
  </si>
  <si>
    <t>Tham chiếu</t>
  </si>
  <si>
    <t>Siddiqi, N. (2017). Intelligent Credit Scoring, 2nd ed., Wiley — số trang ghi “tr.”. Ngưỡng ghi “quy ước của khóa học” lấy từ khóa học, không phải từ sách.</t>
  </si>
  <si>
    <t>Kết quả</t>
  </si>
  <si>
    <t>Công cụ (ảnh chụp)</t>
  </si>
  <si>
    <t>Excel (công thức)</t>
  </si>
  <si>
    <t>|Chênh lệch|</t>
  </si>
  <si>
    <t>Trạng thái</t>
  </si>
  <si>
    <t>Số cột trong file</t>
  </si>
  <si>
    <t>Đặc trưng ứng viên</t>
  </si>
  <si>
    <t>Đặc trưng đưa vào mô hình</t>
  </si>
  <si>
    <t>Số kết quả khớp</t>
  </si>
  <si>
    <t>Dung sai: số đếm phải khớp tuyệt đối; tỷ lệ và chỉ số đến 1e-6 trừ khi ghi khác. Công cụ làm tròn số hiển thị (ví dụ 0,116), nên hãy so giá trị Excel với ảnh chụp ở cùng số chữ số thập phân.</t>
  </si>
  <si>
    <t>Công cụ — Bước 4 Hành trình chọn biến</t>
  </si>
</sst>
</file>

<file path=xl/styles.xml><?xml version="1.0" encoding="utf-8"?>
<styleSheet xmlns="http://schemas.openxmlformats.org/spreadsheetml/2006/main">
  <numFmts count="3">
    <numFmt numFmtId="164" formatCode="0.000"/>
    <numFmt numFmtId="165" formatCode="#,##0"/>
    <numFmt numFmtId="166" formatCode="0.0000"/>
  </numFmts>
  <fonts count="6">
    <font>
      <sz val="11"/>
      <color theme="1"/>
      <name val="Calibri"/>
      <family val="2"/>
      <scheme val="minor"/>
    </font>
    <font>
      <b/>
      <sz val="14"/>
      <color rgb="FF1F3864"/>
      <name val="Calibri"/>
      <family val="2"/>
      <scheme val="minor"/>
    </font>
    <font>
      <b/>
      <sz val="11"/>
      <color theme="1"/>
      <name val="Calibri"/>
      <family val="2"/>
      <scheme val="minor"/>
    </font>
    <font>
      <i/>
      <sz val="11"/>
      <color rgb="FF333333"/>
      <name val="Calibri"/>
      <family val="2"/>
      <scheme val="minor"/>
    </font>
    <font>
      <b/>
      <sz val="11"/>
      <color rgb="FF7A5C00"/>
      <name val="Calibri"/>
      <family val="2"/>
      <scheme val="minor"/>
    </font>
    <font>
      <i/>
      <sz val="11"/>
      <color rgb="FF555555"/>
      <name val="Calibri"/>
      <family val="2"/>
      <scheme val="minor"/>
    </font>
  </fonts>
  <fills count="6">
    <fill>
      <patternFill patternType="none"/>
    </fill>
    <fill>
      <patternFill patternType="gray125"/>
    </fill>
    <fill>
      <patternFill patternType="solid">
        <fgColor rgb="FFDDE7F5"/>
        <bgColor indexed="64"/>
      </patternFill>
    </fill>
    <fill>
      <patternFill patternType="solid">
        <fgColor rgb="FFF2F2F2"/>
        <bgColor indexed="64"/>
      </patternFill>
    </fill>
    <fill>
      <patternFill patternType="solid">
        <fgColor rgb="FFE2F0D9"/>
        <bgColor indexed="64"/>
      </patternFill>
    </fill>
    <fill>
      <patternFill patternType="solid">
        <fgColor rgb="FFFFF8E1"/>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9A227"/>
      </left>
      <right style="medium">
        <color rgb="FFC9A227"/>
      </right>
      <top style="medium">
        <color rgb="FFC9A227"/>
      </top>
      <bottom style="medium">
        <color rgb="FFC9A227"/>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vertical="top" wrapText="1"/>
    </xf>
    <xf numFmtId="0" fontId="2" fillId="0" borderId="0" xfId="0" applyFont="1"/>
    <xf numFmtId="0" fontId="3" fillId="0" borderId="0" xfId="0" applyFont="1" applyAlignment="1">
      <alignment vertical="top" wrapText="1"/>
    </xf>
    <xf numFmtId="164" fontId="0" fillId="0" borderId="0" xfId="0" applyNumberFormat="1"/>
    <xf numFmtId="0" fontId="2" fillId="3" borderId="1" xfId="0" applyFont="1" applyFill="1" applyBorder="1"/>
    <xf numFmtId="165" fontId="0" fillId="4" borderId="0" xfId="0" applyNumberFormat="1" applyFill="1"/>
    <xf numFmtId="0" fontId="2" fillId="0" borderId="1" xfId="0" applyFont="1" applyBorder="1" applyAlignment="1">
      <alignment vertical="top" wrapText="1"/>
    </xf>
    <xf numFmtId="0" fontId="0" fillId="0" borderId="1" xfId="0" applyBorder="1" applyAlignment="1">
      <alignment vertical="top" wrapText="1"/>
    </xf>
    <xf numFmtId="0" fontId="4" fillId="0" borderId="0" xfId="0" applyFont="1"/>
    <xf numFmtId="0" fontId="0" fillId="5" borderId="2" xfId="0" applyFill="1" applyBorder="1" applyAlignment="1">
      <alignment vertical="top" wrapText="1"/>
    </xf>
    <xf numFmtId="166" fontId="0" fillId="0" borderId="0" xfId="0" applyNumberFormat="1"/>
    <xf numFmtId="166" fontId="0" fillId="4" borderId="0" xfId="0" applyNumberFormat="1" applyFill="1"/>
    <xf numFmtId="0" fontId="0" fillId="4" borderId="0" xfId="0" applyFill="1"/>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Waterfall chọn đặc trưng</a:t>
            </a:r>
          </a:p>
        </c:rich>
      </c:tx>
      <c:layout/>
    </c:title>
    <c:plotArea>
      <c:layout/>
      <c:barChart>
        <c:barDir val="bar"/>
        <c:grouping val="stacked"/>
        <c:ser>
          <c:idx val="0"/>
          <c:order val="0"/>
          <c:tx>
            <c:v>Nền</c:v>
          </c:tx>
          <c:spPr>
            <a:noFill/>
            <a:ln>
              <a:noFill/>
            </a:ln>
          </c:spPr>
          <c:cat>
            <c:strRef>
              <c:f>Q10_Waterfall!$A$5:$A$18</c:f>
              <c:strCache>
                <c:ptCount val="14"/>
                <c:pt idx="0">
                  <c:v>Số cột trong file phát triển</c:v>
                </c:pt>
                <c:pt idx="1">
                  <c:v>− Cột hệ thống / kết quả</c:v>
                </c:pt>
                <c:pt idx="2">
                  <c:v>− Cột quy tắc chính sách</c:v>
                </c:pt>
                <c:pt idx="3">
                  <c:v>− Cột phân khúc</c:v>
                </c:pt>
                <c:pt idx="4">
                  <c:v>= Đặc trưng ứng viên</c:v>
                </c:pt>
                <c:pt idx="5">
                  <c:v>− Đánh giá pháp lý</c:v>
                </c:pt>
                <c:pt idx="6">
                  <c:v>− Chất lượng dữ liệu</c:v>
                </c:pt>
                <c:pt idx="7">
                  <c:v>− Tương quan dữ liệu thô (Q7)</c:v>
                </c:pt>
                <c:pt idx="8">
                  <c:v>− IV</c:v>
                </c:pt>
                <c:pt idx="9">
                  <c:v>− Rank-ordering / chiều WoE</c:v>
                </c:pt>
                <c:pt idx="10">
                  <c:v>− Độ ổn định (PSI)</c:v>
                </c:pt>
                <c:pt idx="11">
                  <c:v>− Tương quan sau binning (Q9)</c:v>
                </c:pt>
                <c:pt idx="12">
                  <c:v>− Hợp lý nghiệp vụ</c:v>
                </c:pt>
                <c:pt idx="13">
                  <c:v>= Đặc trưng đưa vào mô hình</c:v>
                </c:pt>
              </c:strCache>
            </c:strRef>
          </c:cat>
          <c:val>
            <c:numRef>
              <c:f>Q10_Waterfall!$D$5:$D$18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er>
        <c:ser>
          <c:idx val="1"/>
          <c:order val="1"/>
          <c:tx>
            <c:v>Số cột</c:v>
          </c:tx>
          <c:spPr>
            <a:solidFill>
              <a:srgbClr val="2F5597"/>
            </a:solidFill>
          </c:spPr>
          <c:dLbls>
            <c:showVal val="1"/>
          </c:dLbls>
          <c:cat>
            <c:strRef>
              <c:f>Q10_Waterfall!$A$5:$A$18</c:f>
              <c:strCache>
                <c:ptCount val="14"/>
                <c:pt idx="0">
                  <c:v>Số cột trong file phát triển</c:v>
                </c:pt>
                <c:pt idx="1">
                  <c:v>− Cột hệ thống / kết quả</c:v>
                </c:pt>
                <c:pt idx="2">
                  <c:v>− Cột quy tắc chính sách</c:v>
                </c:pt>
                <c:pt idx="3">
                  <c:v>− Cột phân khúc</c:v>
                </c:pt>
                <c:pt idx="4">
                  <c:v>= Đặc trưng ứng viên</c:v>
                </c:pt>
                <c:pt idx="5">
                  <c:v>− Đánh giá pháp lý</c:v>
                </c:pt>
                <c:pt idx="6">
                  <c:v>− Chất lượng dữ liệu</c:v>
                </c:pt>
                <c:pt idx="7">
                  <c:v>− Tương quan dữ liệu thô (Q7)</c:v>
                </c:pt>
                <c:pt idx="8">
                  <c:v>− IV</c:v>
                </c:pt>
                <c:pt idx="9">
                  <c:v>− Rank-ordering / chiều WoE</c:v>
                </c:pt>
                <c:pt idx="10">
                  <c:v>− Độ ổn định (PSI)</c:v>
                </c:pt>
                <c:pt idx="11">
                  <c:v>− Tương quan sau binning (Q9)</c:v>
                </c:pt>
                <c:pt idx="12">
                  <c:v>− Hợp lý nghiệp vụ</c:v>
                </c:pt>
                <c:pt idx="13">
                  <c:v>= Đặc trưng đưa vào mô hình</c:v>
                </c:pt>
              </c:strCache>
            </c:strRef>
          </c:cat>
          <c:val>
            <c:numRef>
              <c:f>Q10_Waterfall!$E$5:$E$18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er>
        <c:overlap val="100"/>
        <c:axId val="50010001"/>
        <c:axId val="50010002"/>
      </c:barChart>
      <c:catAx>
        <c:axId val="50010001"/>
        <c:scaling>
          <c:orientation val="maxMin"/>
        </c:scaling>
        <c:axPos val="l"/>
        <c:tickLblPos val="nextTo"/>
        <c:crossAx val="50010002"/>
        <c:crosses val="autoZero"/>
        <c:auto val="1"/>
        <c:lblAlgn val="ctr"/>
        <c:lblOffset val="100"/>
      </c:catAx>
      <c:valAx>
        <c:axId val="50010002"/>
        <c:scaling>
          <c:orientation val="minMax"/>
        </c:scaling>
        <c:axPos val="t"/>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6</xdr:col>
      <xdr:colOff>523875</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114300</xdr:colOff>
      <xdr:row>22</xdr:row>
      <xdr:rowOff>97554</xdr:rowOff>
    </xdr:to>
    <xdr:pic>
      <xdr:nvPicPr>
        <xdr:cNvPr id="2" name="Picture 1" descr="Q10_waterfall.png"/>
        <xdr:cNvPicPr>
          <a:picLocks noChangeAspect="1"/>
        </xdr:cNvPicPr>
      </xdr:nvPicPr>
      <xdr:blipFill>
        <a:blip xmlns:r="http://schemas.openxmlformats.org/officeDocument/2006/relationships" r:embed="rId1"/>
        <a:stretch>
          <a:fillRect/>
        </a:stretch>
      </xdr:blipFill>
      <xdr:spPr>
        <a:xfrm>
          <a:off x="0" y="190500"/>
          <a:ext cx="10477500" cy="4098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width="26.7109375" customWidth="1"/>
    <col min="2" max="2" width="110.7109375" customWidth="1"/>
  </cols>
  <sheetData>
    <row r="1" spans="1:2">
      <c r="A1" s="1" t="s">
        <v>79</v>
      </c>
    </row>
    <row r="3" spans="1:2" ht="16" customHeight="1">
      <c r="A3" s="2" t="s">
        <v>80</v>
      </c>
      <c r="B3" s="2"/>
    </row>
    <row r="5" spans="1:2">
      <c r="A5" s="3" t="s">
        <v>81</v>
      </c>
      <c r="B5" s="3" t="s">
        <v>82</v>
      </c>
    </row>
    <row r="6" spans="1:2">
      <c r="A6" s="4" t="s">
        <v>83</v>
      </c>
      <c r="B6" s="2" t="s">
        <v>84</v>
      </c>
    </row>
    <row r="7" spans="1:2">
      <c r="A7" s="4" t="s">
        <v>85</v>
      </c>
      <c r="B7" s="2" t="s">
        <v>86</v>
      </c>
    </row>
    <row r="9" spans="1:2">
      <c r="A9" s="4" t="s">
        <v>87</v>
      </c>
      <c r="B9" s="2" t="s">
        <v>88</v>
      </c>
    </row>
    <row r="10" spans="1:2">
      <c r="A10" s="4" t="s">
        <v>89</v>
      </c>
      <c r="B10" s="2" t="s">
        <v>90</v>
      </c>
    </row>
    <row r="11" spans="1:2">
      <c r="A11" s="4" t="s">
        <v>91</v>
      </c>
      <c r="B11" s="2" t="s">
        <v>92</v>
      </c>
    </row>
  </sheetData>
  <mergeCells count="1">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32"/>
  <sheetViews>
    <sheetView workbookViewId="0"/>
  </sheetViews>
  <sheetFormatPr defaultRowHeight="15"/>
  <cols>
    <col min="1" max="1" width="22.7109375" customWidth="1"/>
    <col min="2" max="2" width="16.7109375" customWidth="1"/>
    <col min="3" max="3" width="22.7109375" customWidth="1"/>
    <col min="4" max="4" width="12.7109375" customWidth="1"/>
    <col min="5" max="5" width="46.7109375" customWidth="1"/>
  </cols>
  <sheetData>
    <row r="1" spans="1:6">
      <c r="A1" s="1" t="s">
        <v>0</v>
      </c>
    </row>
    <row r="2" spans="1:6" ht="48" customHeight="1">
      <c r="A2" s="5" t="s">
        <v>1</v>
      </c>
      <c r="B2" s="5"/>
      <c r="C2" s="5"/>
      <c r="D2" s="5"/>
      <c r="E2" s="5"/>
      <c r="F2" s="5"/>
    </row>
    <row r="4" spans="1:6">
      <c r="A4" s="3" t="s">
        <v>2</v>
      </c>
      <c r="B4" s="3" t="s">
        <v>3</v>
      </c>
      <c r="C4" s="3" t="s">
        <v>4</v>
      </c>
      <c r="D4" s="3" t="s">
        <v>5</v>
      </c>
      <c r="E4" s="3" t="s">
        <v>6</v>
      </c>
    </row>
    <row r="5" spans="1:6">
      <c r="A5" s="4" t="s">
        <v>7</v>
      </c>
      <c r="B5" t="s">
        <v>8</v>
      </c>
      <c r="C5" t="s">
        <v>9</v>
      </c>
      <c r="E5" s="2"/>
    </row>
    <row r="6" spans="1:6">
      <c r="A6" s="4" t="s">
        <v>10</v>
      </c>
      <c r="B6" t="s">
        <v>8</v>
      </c>
      <c r="C6" t="s">
        <v>9</v>
      </c>
      <c r="E6" s="2"/>
    </row>
    <row r="7" spans="1:6">
      <c r="A7" s="4" t="s">
        <v>11</v>
      </c>
      <c r="B7" t="s">
        <v>12</v>
      </c>
      <c r="C7" t="s">
        <v>9</v>
      </c>
      <c r="E7" s="2"/>
    </row>
    <row r="8" spans="1:6">
      <c r="A8" s="4" t="s">
        <v>13</v>
      </c>
      <c r="B8" t="s">
        <v>12</v>
      </c>
      <c r="C8" t="s">
        <v>9</v>
      </c>
      <c r="E8" s="2"/>
    </row>
    <row r="9" spans="1:6">
      <c r="A9" s="4" t="s">
        <v>14</v>
      </c>
      <c r="B9" t="s">
        <v>12</v>
      </c>
      <c r="C9" t="s">
        <v>9</v>
      </c>
      <c r="E9" s="2"/>
    </row>
    <row r="10" spans="1:6">
      <c r="A10" s="4" t="s">
        <v>15</v>
      </c>
      <c r="B10" t="s">
        <v>12</v>
      </c>
      <c r="C10" t="s">
        <v>9</v>
      </c>
      <c r="E10" s="2"/>
    </row>
    <row r="11" spans="1:6">
      <c r="A11" s="4" t="s">
        <v>16</v>
      </c>
      <c r="B11" t="s">
        <v>17</v>
      </c>
      <c r="C11" t="s">
        <v>18</v>
      </c>
      <c r="D11" s="6">
        <v>0.003826652647625803</v>
      </c>
      <c r="E11" s="2" t="s">
        <v>19</v>
      </c>
    </row>
    <row r="12" spans="1:6">
      <c r="A12" s="4" t="s">
        <v>20</v>
      </c>
      <c r="B12" t="s">
        <v>17</v>
      </c>
      <c r="C12" t="s">
        <v>21</v>
      </c>
      <c r="D12" s="6">
        <v>0.1155044815603227</v>
      </c>
      <c r="E12" s="2"/>
    </row>
    <row r="13" spans="1:6">
      <c r="A13" s="4" t="s">
        <v>22</v>
      </c>
      <c r="B13" t="s">
        <v>17</v>
      </c>
      <c r="C13" t="s">
        <v>23</v>
      </c>
      <c r="D13" s="6">
        <v>0.03606990844995591</v>
      </c>
      <c r="E13" s="2" t="s">
        <v>24</v>
      </c>
    </row>
    <row r="14" spans="1:6">
      <c r="A14" s="4" t="s">
        <v>25</v>
      </c>
      <c r="B14" t="s">
        <v>17</v>
      </c>
      <c r="C14" t="s">
        <v>26</v>
      </c>
      <c r="D14" s="6">
        <v>0.07036363637988931</v>
      </c>
      <c r="E14" s="2" t="s">
        <v>27</v>
      </c>
    </row>
    <row r="15" spans="1:6">
      <c r="A15" s="4" t="s">
        <v>28</v>
      </c>
      <c r="B15" t="s">
        <v>17</v>
      </c>
      <c r="C15" t="s">
        <v>21</v>
      </c>
      <c r="D15" s="6">
        <v>0.09622647728520936</v>
      </c>
      <c r="E15" s="2"/>
    </row>
    <row r="16" spans="1:6">
      <c r="A16" s="4" t="s">
        <v>29</v>
      </c>
      <c r="B16" t="s">
        <v>17</v>
      </c>
      <c r="C16" t="s">
        <v>21</v>
      </c>
      <c r="D16" s="6">
        <v>0.1398621023291867</v>
      </c>
      <c r="E16" s="2"/>
    </row>
    <row r="17" spans="1:5">
      <c r="A17" s="4" t="s">
        <v>30</v>
      </c>
      <c r="B17" t="s">
        <v>17</v>
      </c>
      <c r="C17" t="s">
        <v>21</v>
      </c>
      <c r="D17" s="6">
        <v>0.1864532123137469</v>
      </c>
      <c r="E17" s="2"/>
    </row>
    <row r="18" spans="1:5">
      <c r="A18" s="4" t="s">
        <v>31</v>
      </c>
      <c r="B18" t="s">
        <v>17</v>
      </c>
      <c r="C18" t="s">
        <v>21</v>
      </c>
      <c r="D18" s="6">
        <v>0.2682825678496956</v>
      </c>
      <c r="E18" s="2"/>
    </row>
    <row r="19" spans="1:5">
      <c r="A19" s="4" t="s">
        <v>32</v>
      </c>
      <c r="B19" t="s">
        <v>17</v>
      </c>
      <c r="C19" t="s">
        <v>21</v>
      </c>
      <c r="D19" s="6">
        <v>0.343529587794345</v>
      </c>
      <c r="E19" s="2"/>
    </row>
    <row r="20" spans="1:5">
      <c r="A20" s="4" t="s">
        <v>33</v>
      </c>
      <c r="B20" t="s">
        <v>17</v>
      </c>
      <c r="C20" t="s">
        <v>21</v>
      </c>
      <c r="D20" s="6">
        <v>0.2082498174080796</v>
      </c>
      <c r="E20" s="2"/>
    </row>
    <row r="21" spans="1:5">
      <c r="A21" s="4" t="s">
        <v>34</v>
      </c>
      <c r="B21" t="s">
        <v>17</v>
      </c>
      <c r="C21" t="s">
        <v>21</v>
      </c>
      <c r="D21" s="6">
        <v>0.4631523804044583</v>
      </c>
      <c r="E21" s="2"/>
    </row>
    <row r="22" spans="1:5">
      <c r="A22" s="4" t="s">
        <v>35</v>
      </c>
      <c r="B22" t="s">
        <v>17</v>
      </c>
      <c r="C22" t="s">
        <v>21</v>
      </c>
      <c r="D22" s="6">
        <v>0.2809331022621308</v>
      </c>
      <c r="E22" s="2"/>
    </row>
    <row r="23" spans="1:5">
      <c r="A23" s="4" t="s">
        <v>36</v>
      </c>
      <c r="B23" t="s">
        <v>17</v>
      </c>
      <c r="C23" t="s">
        <v>37</v>
      </c>
      <c r="D23" s="6">
        <v>0.4359119974179355</v>
      </c>
      <c r="E23" s="2" t="s">
        <v>38</v>
      </c>
    </row>
    <row r="24" spans="1:5">
      <c r="A24" s="4" t="s">
        <v>39</v>
      </c>
      <c r="B24" t="s">
        <v>17</v>
      </c>
      <c r="C24" t="s">
        <v>21</v>
      </c>
      <c r="D24" s="6">
        <v>0.4964291110989051</v>
      </c>
      <c r="E24" s="2"/>
    </row>
    <row r="25" spans="1:5">
      <c r="A25" s="4" t="s">
        <v>40</v>
      </c>
      <c r="B25" t="s">
        <v>17</v>
      </c>
      <c r="C25" t="s">
        <v>21</v>
      </c>
      <c r="D25" s="6">
        <v>0.070278493664799</v>
      </c>
      <c r="E25" s="2"/>
    </row>
    <row r="26" spans="1:5">
      <c r="A26" s="4" t="s">
        <v>41</v>
      </c>
      <c r="B26" t="s">
        <v>42</v>
      </c>
      <c r="C26" t="s">
        <v>9</v>
      </c>
      <c r="E26" s="2"/>
    </row>
    <row r="27" spans="1:5">
      <c r="A27" s="4" t="s">
        <v>43</v>
      </c>
      <c r="B27" t="s">
        <v>8</v>
      </c>
      <c r="C27" t="s">
        <v>9</v>
      </c>
      <c r="E27" s="2"/>
    </row>
    <row r="28" spans="1:5">
      <c r="A28" s="4" t="s">
        <v>44</v>
      </c>
      <c r="B28" t="s">
        <v>8</v>
      </c>
      <c r="C28" t="s">
        <v>9</v>
      </c>
      <c r="E28" s="2"/>
    </row>
    <row r="29" spans="1:5">
      <c r="A29" s="4" t="s">
        <v>45</v>
      </c>
      <c r="B29" t="s">
        <v>8</v>
      </c>
      <c r="C29" t="s">
        <v>9</v>
      </c>
      <c r="E29" s="2"/>
    </row>
    <row r="30" spans="1:5">
      <c r="A30" s="4" t="s">
        <v>46</v>
      </c>
      <c r="B30" t="s">
        <v>8</v>
      </c>
      <c r="C30" t="s">
        <v>9</v>
      </c>
      <c r="E30" s="2"/>
    </row>
    <row r="31" spans="1:5">
      <c r="A31" s="4" t="s">
        <v>47</v>
      </c>
      <c r="B31" t="s">
        <v>8</v>
      </c>
      <c r="C31" t="s">
        <v>9</v>
      </c>
      <c r="E31" s="2"/>
    </row>
    <row r="32" spans="1:5">
      <c r="A32" s="4" t="s">
        <v>48</v>
      </c>
      <c r="B32" t="s">
        <v>8</v>
      </c>
      <c r="C32" t="s">
        <v>9</v>
      </c>
      <c r="E32" s="2"/>
    </row>
  </sheetData>
  <mergeCells count="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5"/>
  <sheetViews>
    <sheetView workbookViewId="0"/>
  </sheetViews>
  <sheetFormatPr defaultRowHeight="15"/>
  <cols>
    <col min="1" max="1" width="40.7109375" customWidth="1"/>
    <col min="2" max="5" width="12.7109375" customWidth="1"/>
    <col min="7" max="7" width="20.7109375" customWidth="1"/>
    <col min="8" max="8" width="62.7109375" customWidth="1"/>
  </cols>
  <sheetData>
    <row r="1" spans="1:8">
      <c r="A1" s="1" t="s">
        <v>49</v>
      </c>
    </row>
    <row r="2" spans="1:8" ht="48" customHeight="1">
      <c r="A2" s="5" t="s">
        <v>50</v>
      </c>
      <c r="B2" s="5"/>
      <c r="C2" s="5"/>
      <c r="D2" s="5"/>
      <c r="E2" s="5"/>
    </row>
    <row r="4" spans="1:8">
      <c r="A4" s="3" t="s">
        <v>51</v>
      </c>
      <c r="B4" s="3" t="s">
        <v>52</v>
      </c>
      <c r="C4" s="3" t="s">
        <v>53</v>
      </c>
      <c r="D4" s="3" t="s">
        <v>54</v>
      </c>
      <c r="E4" s="3" t="s">
        <v>55</v>
      </c>
      <c r="G4" s="7" t="s">
        <v>70</v>
      </c>
      <c r="H4" s="7"/>
    </row>
    <row r="5" spans="1:8">
      <c r="A5" s="4" t="s">
        <v>56</v>
      </c>
      <c r="C5" s="8">
        <f>COUNTA('Q10_Decisions'!$A$5:$A$32)</f>
        <v>0</v>
      </c>
      <c r="D5" s="8">
        <f>0</f>
        <v>0</v>
      </c>
      <c r="E5" s="8">
        <f>C5</f>
        <v>0</v>
      </c>
      <c r="G5" s="9" t="s">
        <v>52</v>
      </c>
      <c r="H5" s="10" t="s">
        <v>71</v>
      </c>
    </row>
    <row r="6" spans="1:8">
      <c r="A6" t="s">
        <v>57</v>
      </c>
      <c r="B6" s="8">
        <f>COUNTIF('Q10_Decisions'!$B$5:$B$32,"Hệ thống / kết quả")</f>
        <v>0</v>
      </c>
      <c r="C6" s="8">
        <f>C5-B6</f>
        <v>0</v>
      </c>
      <c r="D6" s="8">
        <f>C6</f>
        <v>0</v>
      </c>
      <c r="E6" s="8">
        <f>B6</f>
        <v>0</v>
      </c>
      <c r="G6" s="9" t="s">
        <v>53</v>
      </c>
      <c r="H6" s="10" t="s">
        <v>72</v>
      </c>
    </row>
    <row r="7" spans="1:8">
      <c r="A7" t="s">
        <v>58</v>
      </c>
      <c r="B7" s="8">
        <f>COUNTIF('Q10_Decisions'!$B$5:$B$32,"Quy tắc chính sách")</f>
        <v>0</v>
      </c>
      <c r="C7" s="8">
        <f>C6-B7</f>
        <v>0</v>
      </c>
      <c r="D7" s="8">
        <f>C7</f>
        <v>0</v>
      </c>
      <c r="E7" s="8">
        <f>B7</f>
        <v>0</v>
      </c>
      <c r="G7" s="9" t="s">
        <v>73</v>
      </c>
      <c r="H7" s="10" t="s">
        <v>74</v>
      </c>
    </row>
    <row r="8" spans="1:8">
      <c r="A8" t="s">
        <v>59</v>
      </c>
      <c r="B8" s="8">
        <f>COUNTIF('Q10_Decisions'!$B$5:$B$32,"Phân khúc")</f>
        <v>0</v>
      </c>
      <c r="C8" s="8">
        <f>C7-B8</f>
        <v>0</v>
      </c>
      <c r="D8" s="8">
        <f>C8</f>
        <v>0</v>
      </c>
      <c r="E8" s="8">
        <f>B8</f>
        <v>0</v>
      </c>
      <c r="G8" s="9" t="s">
        <v>75</v>
      </c>
      <c r="H8" s="10" t="s">
        <v>76</v>
      </c>
    </row>
    <row r="9" spans="1:8">
      <c r="A9" s="4" t="s">
        <v>60</v>
      </c>
      <c r="C9" s="8">
        <f>C8</f>
        <v>0</v>
      </c>
      <c r="D9" s="8">
        <f>0</f>
        <v>0</v>
      </c>
      <c r="E9" s="8">
        <f>C9</f>
        <v>0</v>
      </c>
    </row>
    <row r="10" spans="1:8">
      <c r="A10" t="s">
        <v>61</v>
      </c>
      <c r="B10" s="8">
        <f>COUNTIF('Q10_Decisions'!$C$5:$C$32,"1 Đánh giá pháp lý")</f>
        <v>0</v>
      </c>
      <c r="C10" s="8">
        <f>C9-B10</f>
        <v>0</v>
      </c>
      <c r="D10" s="8">
        <f>C10</f>
        <v>0</v>
      </c>
      <c r="E10" s="8">
        <f>B10</f>
        <v>0</v>
      </c>
    </row>
    <row r="11" spans="1:8">
      <c r="A11" t="s">
        <v>62</v>
      </c>
      <c r="B11" s="8">
        <f>COUNTIF('Q10_Decisions'!$C$5:$C$32,"2 Chất lượng dữ liệu")</f>
        <v>0</v>
      </c>
      <c r="C11" s="8">
        <f>C10-B11</f>
        <v>0</v>
      </c>
      <c r="D11" s="8">
        <f>C11</f>
        <v>0</v>
      </c>
      <c r="E11" s="8">
        <f>B11</f>
        <v>0</v>
      </c>
    </row>
    <row r="12" spans="1:8">
      <c r="A12" t="s">
        <v>63</v>
      </c>
      <c r="B12" s="8">
        <f>COUNTIF('Q10_Decisions'!$C$5:$C$32,"3 Tương quan dữ liệu thô (Q7)")</f>
        <v>0</v>
      </c>
      <c r="C12" s="8">
        <f>C11-B12</f>
        <v>0</v>
      </c>
      <c r="D12" s="8">
        <f>C12</f>
        <v>0</v>
      </c>
      <c r="E12" s="8">
        <f>B12</f>
        <v>0</v>
      </c>
    </row>
    <row r="13" spans="1:8">
      <c r="A13" t="s">
        <v>64</v>
      </c>
      <c r="B13" s="8">
        <f>COUNTIF('Q10_Decisions'!$C$5:$C$32,"4 IV")</f>
        <v>0</v>
      </c>
      <c r="C13" s="8">
        <f>C12-B13</f>
        <v>0</v>
      </c>
      <c r="D13" s="8">
        <f>C13</f>
        <v>0</v>
      </c>
      <c r="E13" s="8">
        <f>B13</f>
        <v>0</v>
      </c>
    </row>
    <row r="14" spans="1:8">
      <c r="A14" t="s">
        <v>65</v>
      </c>
      <c r="B14" s="8">
        <f>COUNTIF('Q10_Decisions'!$C$5:$C$32,"5 Rank-ordering / chiều WoE")</f>
        <v>0</v>
      </c>
      <c r="C14" s="8">
        <f>C13-B14</f>
        <v>0</v>
      </c>
      <c r="D14" s="8">
        <f>C14</f>
        <v>0</v>
      </c>
      <c r="E14" s="8">
        <f>B14</f>
        <v>0</v>
      </c>
    </row>
    <row r="15" spans="1:8">
      <c r="A15" t="s">
        <v>66</v>
      </c>
      <c r="B15" s="8">
        <f>COUNTIF('Q10_Decisions'!$C$5:$C$32,"6 Độ ổn định (PSI)")</f>
        <v>0</v>
      </c>
      <c r="C15" s="8">
        <f>C14-B15</f>
        <v>0</v>
      </c>
      <c r="D15" s="8">
        <f>C15</f>
        <v>0</v>
      </c>
      <c r="E15" s="8">
        <f>B15</f>
        <v>0</v>
      </c>
    </row>
    <row r="16" spans="1:8">
      <c r="A16" t="s">
        <v>67</v>
      </c>
      <c r="B16" s="8">
        <f>COUNTIF('Q10_Decisions'!$C$5:$C$32,"7 Tương quan sau binning (Q9)")</f>
        <v>0</v>
      </c>
      <c r="C16" s="8">
        <f>C15-B16</f>
        <v>0</v>
      </c>
      <c r="D16" s="8">
        <f>C16</f>
        <v>0</v>
      </c>
      <c r="E16" s="8">
        <f>B16</f>
        <v>0</v>
      </c>
    </row>
    <row r="17" spans="1:5">
      <c r="A17" t="s">
        <v>68</v>
      </c>
      <c r="B17" s="8">
        <f>COUNTIF('Q10_Decisions'!$C$5:$C$32,"8 Hợp lý nghiệp vụ")</f>
        <v>0</v>
      </c>
      <c r="C17" s="8">
        <f>C16-B17</f>
        <v>0</v>
      </c>
      <c r="D17" s="8">
        <f>C17</f>
        <v>0</v>
      </c>
      <c r="E17" s="8">
        <f>B17</f>
        <v>0</v>
      </c>
    </row>
    <row r="18" spans="1:5">
      <c r="A18" s="4" t="s">
        <v>69</v>
      </c>
      <c r="C18" s="8">
        <f>C17</f>
        <v>0</v>
      </c>
      <c r="D18" s="8">
        <f>0</f>
        <v>0</v>
      </c>
      <c r="E18" s="8">
        <f>C18</f>
        <v>0</v>
      </c>
    </row>
    <row r="44" spans="1:5">
      <c r="A44" s="11" t="s">
        <v>77</v>
      </c>
    </row>
    <row r="45" spans="1:5" ht="75" customHeight="1">
      <c r="A45" s="12" t="s">
        <v>78</v>
      </c>
      <c r="B45" s="12"/>
      <c r="C45" s="12"/>
      <c r="D45" s="12"/>
      <c r="E45" s="12"/>
    </row>
  </sheetData>
  <mergeCells count="3">
    <mergeCell ref="A2:E2"/>
    <mergeCell ref="G4:H4"/>
    <mergeCell ref="A45:E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7"/>
  <sheetViews>
    <sheetView workbookViewId="0"/>
  </sheetViews>
  <sheetFormatPr defaultRowHeight="15"/>
  <cols>
    <col min="1" max="1" width="58.7109375" customWidth="1"/>
    <col min="2" max="4" width="16.7109375" customWidth="1"/>
    <col min="5" max="5" width="10.7109375" customWidth="1"/>
  </cols>
  <sheetData>
    <row r="1" spans="1:5">
      <c r="A1" s="3" t="s">
        <v>93</v>
      </c>
      <c r="B1" s="3" t="s">
        <v>94</v>
      </c>
      <c r="C1" s="3" t="s">
        <v>95</v>
      </c>
      <c r="D1" s="3" t="s">
        <v>96</v>
      </c>
      <c r="E1" s="3" t="s">
        <v>97</v>
      </c>
    </row>
    <row r="2" spans="1:5">
      <c r="A2" s="2" t="s">
        <v>98</v>
      </c>
      <c r="B2" s="13">
        <v>28</v>
      </c>
      <c r="C2" s="14">
        <f>'Q10_Waterfall'!$C$5</f>
        <v>0</v>
      </c>
      <c r="D2" s="14">
        <f>ABS(C2-B2)</f>
        <v>0</v>
      </c>
      <c r="E2" s="15">
        <f>IF(D2&lt;=0,"Khớp","Lệch")</f>
        <v>0</v>
      </c>
    </row>
    <row r="3" spans="1:5">
      <c r="A3" s="2" t="s">
        <v>99</v>
      </c>
      <c r="B3" s="13">
        <v>15</v>
      </c>
      <c r="C3" s="14">
        <f>'Q10_Waterfall'!$C$9</f>
        <v>0</v>
      </c>
      <c r="D3" s="14">
        <f>ABS(C3-B3)</f>
        <v>0</v>
      </c>
      <c r="E3" s="15">
        <f>IF(D3&lt;=0,"Khớp","Lệch")</f>
        <v>0</v>
      </c>
    </row>
    <row r="4" spans="1:5">
      <c r="A4" s="2" t="s">
        <v>100</v>
      </c>
      <c r="B4" s="13">
        <v>11</v>
      </c>
      <c r="C4" s="14">
        <f>'Q10_Waterfall'!$C$18</f>
        <v>0</v>
      </c>
      <c r="D4" s="14">
        <f>ABS(C4-B4)</f>
        <v>0</v>
      </c>
      <c r="E4" s="15">
        <f>IF(D4&lt;=0,"Khớp","Lệch")</f>
        <v>0</v>
      </c>
    </row>
    <row r="6" spans="1:5">
      <c r="A6" s="4" t="s">
        <v>101</v>
      </c>
      <c r="E6" s="15">
        <f>COUNTIF(E2:E4,"Khớp")&amp;" / 3"</f>
        <v>0</v>
      </c>
    </row>
    <row r="7" spans="1:5">
      <c r="A7" s="16"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4" t="s">
        <v>103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Q10_Decisions</vt:lpstr>
      <vt:lpstr>Q10_Waterfall</vt:lpstr>
      <vt:lpstr>Check</vt:lpstr>
      <vt:lpstr>Tool_snapshot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2026-10-24T23:52:29Z</dcterms:created>
  <dcterms:modified xsi:type="dcterms:W3CDTF">2026-10-24T23:52:29Z</dcterms:modified>
</cp:coreProperties>
</file>