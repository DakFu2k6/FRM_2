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1b388a4ee6db962/Dokumente/MAIN/TRAINING/DATANITY/FRM COURSE/CLAUDE/9. LOG/SongHong_lab/Questions/Answer_workbooks_VI/"/>
    </mc:Choice>
  </mc:AlternateContent>
  <xr:revisionPtr revIDLastSave="17" documentId="11_A5656FAEAAAD1494A88B85300CAE2C551A27B430" xr6:coauthVersionLast="47" xr6:coauthVersionMax="47" xr10:uidLastSave="{BA25A72F-BD8E-46B1-B1F8-8CBD088F0858}"/>
  <bookViews>
    <workbookView xWindow="-98" yWindow="-98" windowWidth="21795" windowHeight="12975" activeTab="3" xr2:uid="{00000000-000D-0000-FFFF-FFFF00000000}"/>
  </bookViews>
  <sheets>
    <sheet name="README" sheetId="1" r:id="rId1"/>
    <sheet name="Q1a_Files" sheetId="2" r:id="rId2"/>
    <sheet name="Q1b_Fields" sheetId="3" r:id="rId3"/>
    <sheet name="Check" sheetId="4" r:id="rId4"/>
    <sheet name="Tool_snapsho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D2" i="4" s="1"/>
  <c r="E2" i="4" s="1"/>
  <c r="B44" i="3"/>
  <c r="C6" i="4" s="1"/>
  <c r="D6" i="4" s="1"/>
  <c r="E6" i="4" s="1"/>
  <c r="B43" i="3"/>
  <c r="C5" i="4" s="1"/>
  <c r="D5" i="4" s="1"/>
  <c r="E5" i="4" s="1"/>
  <c r="B42" i="3"/>
  <c r="C4" i="4" s="1"/>
  <c r="D4" i="4" s="1"/>
  <c r="E4" i="4" s="1"/>
  <c r="B41" i="3"/>
  <c r="C3" i="4" s="1"/>
  <c r="D3" i="4" s="1"/>
  <c r="E3" i="4" s="1"/>
  <c r="E8" i="4" l="1"/>
</calcChain>
</file>

<file path=xl/sharedStrings.xml><?xml version="1.0" encoding="utf-8"?>
<sst xmlns="http://schemas.openxmlformats.org/spreadsheetml/2006/main" count="333" uniqueCount="193">
  <si>
    <t>Q1a — Mỗi file dùng để làm gì, vì sao?</t>
  </si>
  <si>
    <t>Hãy download bộ dữ liệu Ngân hàng Sông Hồng mới cập nhật nhất. Các file sử dụng cho mục đích nào? Tại sao?</t>
  </si>
  <si>
    <t>File</t>
  </si>
  <si>
    <t>Số dòng</t>
  </si>
  <si>
    <t>Mỗi dòng là</t>
  </si>
  <si>
    <t>Thời kỳ</t>
  </si>
  <si>
    <t>Dùng cho (bước trong công cụ)</t>
  </si>
  <si>
    <t>Vì sao</t>
  </si>
  <si>
    <t>song_hong_dev_2023.csv</t>
  </si>
  <si>
    <t>hồ sơ</t>
  </si>
  <si>
    <t>2023 (cửa sổ mẫu)</t>
  </si>
  <si>
    <t>Phát triển mô hình: hồ sơ nộp kèm quyết định và phân loại Good / Bad / Indeterminate / Excluded / Rejected (bước 1–5).</t>
  </si>
  <si>
    <t>Mô hình học từ các khách hàng trong quá khứ đã biết kết quả trả nợ (tr. 79, 140).</t>
  </si>
  <si>
    <t>song_hong_perf_monthly.csv</t>
  </si>
  <si>
    <t>khoản vay đã giải ngân</t>
  </si>
  <si>
    <t>tối đa 24 tháng trên sổ</t>
  </si>
  <si>
    <t>Định nghĩa hiệu quả: vintage, roll rate, quy tắc Good/Bad (bước 1a).</t>
  </si>
  <si>
    <t>Định nghĩa Bad và cửa sổ hiệu quả được chọn dựa trên diễn biến xấu đi thực tế của khoản vay theo thời gian (tr. 80–102).</t>
  </si>
  <si>
    <t>song_hong_oot_2024H1.csv</t>
  </si>
  <si>
    <t>hồ sơ (chỉ Good/Bad)</t>
  </si>
  <si>
    <t>2024 H1</t>
  </si>
  <si>
    <t>Kiểm định ngoài thời gian và kiểm tra độ ổn định (Q6b, Q8g, bước 6).</t>
  </si>
  <si>
    <t>Một giai đoạn sau, không dùng để xây mô hình, cho biết mô hình và các đầu vào có còn đúng theo thời gian không (tr. 258).</t>
  </si>
  <si>
    <t>song_hong_applications_2026Q2.csv</t>
  </si>
  <si>
    <t>hồ sơ (chưa có kết quả)</t>
  </si>
  <si>
    <t>2026 Q2</t>
  </si>
  <si>
    <t>Hồ sơ nộp gần nhất: so sánh pro-forma, giám sát, cut-off (bước 1, 7).</t>
  </si>
  <si>
    <t>Cho biết ai đang nộp hồ sơ hiện nay; chưa biết kết quả trả nợ (tr. 86–88).</t>
  </si>
  <si>
    <t>song_hong_bureau_rejects.csv</t>
  </si>
  <si>
    <t>hồ sơ bị từ chối</t>
  </si>
  <si>
    <t>sau quyết định năm 2023</t>
  </si>
  <si>
    <t>Reject inference bằng dữ liệu bureau (bước 5b).</t>
  </si>
  <si>
    <t>Kết quả bureau của hồ sơ bị từ chối giảm phần phỏng đoán trong reject inference (tr. 223–225).</t>
  </si>
  <si>
    <t>data_dictionary.csv</t>
  </si>
  <si>
    <t>cột</t>
  </si>
  <si>
    <t>—</t>
  </si>
  <si>
    <t>Vai trò, ý nghĩa và ghi chú dữ liệu của từng cột (bước 1).</t>
  </si>
  <si>
    <t>Cho biết cột nào là đầu vào, phân khúc, trường chính sách hay trường hệ thống, và các vấn đề dữ liệu đã biết.</t>
  </si>
  <si>
    <t>Cách đọc bảng này</t>
  </si>
  <si>
    <t>Số dòng dữ liệu trong file CSV (không tính dòng tiêu đề).</t>
  </si>
  <si>
    <t>Mỗi dòng của file mô tả điều gì.</t>
  </si>
  <si>
    <t>Dùng cho</t>
  </si>
  <si>
    <t>File được dùng ở bước nào của quy trình xây mô hình.</t>
  </si>
  <si>
    <t>Q1b — Mỗi trường dữ liệu dùng để làm gì, vì sao?</t>
  </si>
  <si>
    <t>Các trường dữ liệu trong file phát triển (và từ điển dữ liệu) sử dụng cho mục đích gì và tại sao?</t>
  </si>
  <si>
    <t>Cột</t>
  </si>
  <si>
    <t>Ý nghĩa</t>
  </si>
  <si>
    <t>Kiểu</t>
  </si>
  <si>
    <t>Nguồn</t>
  </si>
  <si>
    <t>Nhóm thông tin</t>
  </si>
  <si>
    <t>Vai trò</t>
  </si>
  <si>
    <t>Dùng cho / vì sao</t>
  </si>
  <si>
    <t>Ghi chú dữ liệu</t>
  </si>
  <si>
    <t>Mô tả (bản gốc)</t>
  </si>
  <si>
    <t>app_id</t>
  </si>
  <si>
    <t>Mã hồ sơ</t>
  </si>
  <si>
    <t>text</t>
  </si>
  <si>
    <t>Hệ thống</t>
  </si>
  <si>
    <t>Định danh hồ sơ hoặc mô tả kết quả; không bao giờ là đầu vào của mô hình.</t>
  </si>
  <si>
    <t>app_date</t>
  </si>
  <si>
    <t>Ngày nộp hồ sơ</t>
  </si>
  <si>
    <t>date</t>
  </si>
  <si>
    <t>channel</t>
  </si>
  <si>
    <t>Kênh nộp hồ sơ (Chi nhánh / Đối tác / Online)</t>
  </si>
  <si>
    <t>category</t>
  </si>
  <si>
    <t>LOS</t>
  </si>
  <si>
    <t>Phân khúc</t>
  </si>
  <si>
    <t>Dùng để kiểm tra phân khúc (Q4) và tính đại diện (Q5–Q6); ở đây không là đầu vào scorecard.</t>
  </si>
  <si>
    <t>Kênh nộp hồ sơ</t>
  </si>
  <si>
    <t>customer_type</t>
  </si>
  <si>
    <t>Loại khách hàng (Hiện hữu = đã từng vay tại Sông Hồng / Mới)</t>
  </si>
  <si>
    <t>Core</t>
  </si>
  <si>
    <t>Loại khách hàng</t>
  </si>
  <si>
    <t>province</t>
  </si>
  <si>
    <t>Tỉnh / thành</t>
  </si>
  <si>
    <t>Tỉnh/thành</t>
  </si>
  <si>
    <t>region</t>
  </si>
  <si>
    <t>Vùng (Bắc / Trung / Nam)</t>
  </si>
  <si>
    <t>Vùng</t>
  </si>
  <si>
    <t>loan_amount_mil</t>
  </si>
  <si>
    <t>Số tiền vay (triệu VND)</t>
  </si>
  <si>
    <t>number</t>
  </si>
  <si>
    <t>Khả năng trả nợ</t>
  </si>
  <si>
    <t>Đặc trưng</t>
  </si>
  <si>
    <t>Ứng viên dự báo Bad: được binning, sàng lọc và có thể đưa vào scorecard.</t>
  </si>
  <si>
    <t>age</t>
  </si>
  <si>
    <t>Tuổi</t>
  </si>
  <si>
    <t>Nhân khẩu &amp; ổn định</t>
  </si>
  <si>
    <t>122 giá trị bất thường (&lt; 18 hoặc &gt; 75) trong Good/Bad — lỗi nhập liệu.</t>
  </si>
  <si>
    <t>gender</t>
  </si>
  <si>
    <t>Giới tính</t>
  </si>
  <si>
    <t>Biến nhạy cảm — giữ trong file cho bài tập loại biến; không được đưa vào mô hình.</t>
  </si>
  <si>
    <t>occupation</t>
  </si>
  <si>
    <t>Nghề nghiệp</t>
  </si>
  <si>
    <t>home_status</t>
  </si>
  <si>
    <t>Tình trạng nhà ở (sở hữu / ở cùng gia đình / thuê)</t>
  </si>
  <si>
    <t>Quan hệ ngân hàng &amp; tài sản</t>
  </si>
  <si>
    <t>Tình trạng nhà ở</t>
  </si>
  <si>
    <t>income_mil</t>
  </si>
  <si>
    <t>Thu nhập hàng tháng (triệu VND)</t>
  </si>
  <si>
    <t>Trống = khách không khai; từ 01/07/2023 biểu mẫu LOS mới yêu cầu khai cả thu nhập khác nên thu nhập khai báo tăng khoảng 25% (trung vị 12 → 15 triệu); 76 giá trị &gt; 500 trong Good/Bad (lỗi đơn vị).</t>
  </si>
  <si>
    <t>work_months</t>
  </si>
  <si>
    <t>Thời gian làm việc hiện tại (tháng)</t>
  </si>
  <si>
    <t>Trống = không khai; không vượt quá số tháng từ 18 tuổi.</t>
  </si>
  <si>
    <t>dti_pct</t>
  </si>
  <si>
    <t>Tỷ lệ nợ trên thu nhập (%)</t>
  </si>
  <si>
    <t>(Nghĩa vụ trả nợ hiện có + kỳ trả khoản vay mới) / thu nhập; 29 giá trị &gt; 200%.</t>
  </si>
  <si>
    <t>cic_hist_months</t>
  </si>
  <si>
    <t>Số tháng có lịch sử tín dụng (CIC)</t>
  </si>
  <si>
    <t>CIC</t>
  </si>
  <si>
    <t>Lịch sử tín dụng (CIC)</t>
  </si>
  <si>
    <t>0 = chưa có lịch sử tín dụng; không vượt quá số tháng từ 18 tuổi.</t>
  </si>
  <si>
    <t>num_lenders</t>
  </si>
  <si>
    <t>Số TCTD đang có dư nợ (CIC)</t>
  </si>
  <si>
    <t>Nhu cầu &amp; mức dùng tín dụng</t>
  </si>
  <si>
    <t>0 khi chưa có lịch sử tín dụng.</t>
  </si>
  <si>
    <t>card_util_pct</t>
  </si>
  <si>
    <t>Tỷ lệ sử dụng hạn mức thẻ (%) (CIC)</t>
  </si>
  <si>
    <t>Trống = không có thẻ (chỉ có thẻ khi có ít nhất 1 TCTD); 2.139 giá trị &gt; 100% (chi tiêu vượt hạn mức).</t>
  </si>
  <si>
    <t>inq_6m</t>
  </si>
  <si>
    <t>Số lần tra cứu CIC 6 tháng</t>
  </si>
  <si>
    <t>dpd_cnt_6m</t>
  </si>
  <si>
    <t>Số lần trễ hạn 6 tháng (CIC)</t>
  </si>
  <si>
    <t>Tương quan cao với dpd_cnt_12m; luôn ≤ dpd_cnt_12m.</t>
  </si>
  <si>
    <t>dpd_cnt_12m</t>
  </si>
  <si>
    <t>Số lần trễ hạn 12 tháng (CIC)</t>
  </si>
  <si>
    <t>0–6; không vượt quá số tháng có lịch sử CIC.</t>
  </si>
  <si>
    <t>deposit_avg_3m_mil</t>
  </si>
  <si>
    <t>Số dư tiền gửi bình quân 3 tháng (triệu VND)</t>
  </si>
  <si>
    <t>Trống = chưa có tài khoản tiền gửi tại Sông Hồng.</t>
  </si>
  <si>
    <t>curr_max_cic_group</t>
  </si>
  <si>
    <t>Nhóm nợ cao nhất tại mọi TCTD khi xếp hạng (CIC)</t>
  </si>
  <si>
    <t>Bỏ qua (quy tắc chính sách)</t>
  </si>
  <si>
    <t>Dùng trong quy tắc chính sách (nhóm nợ CIC ≥ 2 → từ chối) nên không đưa vào scorecard (tr. 304).</t>
  </si>
  <si>
    <t>0 = không có dư nợ tại TCTD nào; 1–5 = nhóm nợ. Quy tắc chính sách: nhóm ≥ 2 → từ chối, nên mọi hồ sơ được duyệt có nhóm 0–1; đây cũng là điều kiện đầu tiên của định nghĩa Good. Không đưa vào scorecard (tr. 304).</t>
  </si>
  <si>
    <t>decision</t>
  </si>
  <si>
    <t>Quyết định của scorecard cũ (Approved / Rejected)</t>
  </si>
  <si>
    <t>Năm 2023 ngân hàng từ chối theo quy tắc chính sách (dpd_cnt_12m ≥ 3, dti_pct &gt; 100, inq_6m ≥ 8, thiếu cả thu nhập và tiền gửi, tuổi &lt; 20, curr_max_cic_group ≥ 2) và theo điểm scorecard cũ thấp, nên hồ sơ bị từ chối rủi ro hơn rõ rệt so với hồ sơ được duyệt (dữ liệu mô phỏng).</t>
  </si>
  <si>
    <t>Quyết định của scorecard cũ</t>
  </si>
  <si>
    <t>perf_class</t>
  </si>
  <si>
    <t>Phân loại hiệu quả (Good / Bad / Indeterminate / Excluded / Rejected)</t>
  </si>
  <si>
    <t>Good = không có dư nợ hoặc nhóm 1 tại mọi TCTD khi xếp hạng, luôn nhóm 1 (DPD ≤ 9) trong 12 tháng đầu, không cơ cấu/giãn nợ; Bad = từng quá hạn 90+ ngày (nhóm 3–5) trong 12 tháng đầu; Indeterminate = còn lại (từng nhóm 2, cơ cấu/giãn nợ, tất toán tự nguyện trong cửa sổ — tr. 100); Excluded = nhân viên, gian lận, chưa đủ 12 tháng quan sát.</t>
  </si>
  <si>
    <t>Phân loại hiệu suất</t>
  </si>
  <si>
    <t>exclusion_reason</t>
  </si>
  <si>
    <t>Lý do loại trừ</t>
  </si>
  <si>
    <t>indeterminate_reason</t>
  </si>
  <si>
    <t>Lý do Indeterminate</t>
  </si>
  <si>
    <t>Lý do indeterminate</t>
  </si>
  <si>
    <t>max_dpd_12m</t>
  </si>
  <si>
    <t>Số ngày quá hạn lớn nhất trong 12 tháng đầu</t>
  </si>
  <si>
    <t>target</t>
  </si>
  <si>
    <t>Biến mục tiêu (1 = Bad, 0 = Good, trống nếu không phải Good/Bad)</t>
  </si>
  <si>
    <t>0/1</t>
  </si>
  <si>
    <t>Biến mục tiêu</t>
  </si>
  <si>
    <t>restr_mob</t>
  </si>
  <si>
    <t>Tháng trên sổ bị cơ cấu/giãn nợ</t>
  </si>
  <si>
    <t>Trống = không cơ cấu/giãn nợ; Good bị cơ cấu/giãn nợ trong 12 tháng đầu → Indeterminate.</t>
  </si>
  <si>
    <t>Tháng trên sổ bị cơ cấu nợ/giãn nợ</t>
  </si>
  <si>
    <t>Hệ thống = định danh hoặc kết quả; Phân khúc = dùng kiểm tra phân khúc và tính đại diện; Đặc trưng = ứng viên dự báo; Bỏ qua = trường dùng cho quy tắc chính sách, không đưa vào scorecard.</t>
  </si>
  <si>
    <t>LOS = hệ thống khởi tạo khoản vay (đơn đề nghị); CIC = trung tâm thông tin tín dụng; Core = core banking (tiền gửi, khách hàng hiện hữu).</t>
  </si>
  <si>
    <t>Đếm</t>
  </si>
  <si>
    <t>Bảng dưới đếm số cột theo vai trò bằng COUNTIF.</t>
  </si>
  <si>
    <t>Số cột</t>
  </si>
  <si>
    <t>Trả lời / khuyến nghị</t>
  </si>
  <si>
    <t>File phát triển có mỗi dòng là một hồ sơ. Trường hệ thống dùng để định danh hoặc ghi kết quả (decision, perf_class, target), không bao giờ là đầu vào. Trường phân khúc (channel, customer_type, province, region) dùng để kiểm tra phân khúc và tính đại diện. 15 đặc trưng là các ứng viên dự báo; gender có trong file chỉ để làm bài tập loại biến (pháp lý / nhạy cảm). curr_max_cic_group là trường của quy tắc chính sách (nhóm ≥ 2 → từ chối) nên không đưa vào scorecard (tr. 304).</t>
  </si>
  <si>
    <t>Q01 — Bộ dữ liệu Ngân hàng Sông Hồng: các file và trường dữ liệu</t>
  </si>
  <si>
    <t>Câu 1 hỏi các file và trường dữ liệu dùng để làm gì. Hai sheet là bảng thông tin; phần đếm theo vai trò dùng công thức COUNTIF.</t>
  </si>
  <si>
    <t>Sheet</t>
  </si>
  <si>
    <t>Nội dung</t>
  </si>
  <si>
    <t>Q1a_Files</t>
  </si>
  <si>
    <t>Mỗi file một dòng: số dòng, mức dữ liệu, thời kỳ, công dụng và lý do.</t>
  </si>
  <si>
    <t>Q1b_Fields</t>
  </si>
  <si>
    <t>Mỗi cột của từ điển dữ liệu một dòng, kèm mô tả và vai trò.</t>
  </si>
  <si>
    <t>Màu ô</t>
  </si>
  <si>
    <t>Xanh = công thức Excel · Vàng = ô có thể sửa · Trắng = dữ liệu (chép từ file CSV) · Khung vàng đậm = trả lời / khuyến nghị.</t>
  </si>
  <si>
    <t>Đối chiếu</t>
  </si>
  <si>
    <t>Sheet “Check” so từng kết quả chính của Excel với số mà Credit Risk Modelling Tool hiển thị (xem sheet “Tool_snapshot”). Mọi dòng phải là “Khớp”.</t>
  </si>
  <si>
    <t>Tham chiếu</t>
  </si>
  <si>
    <t>Siddiqi, N. (2017). Intelligent Credit Scoring, 2nd ed., Wiley — số trang ghi “tr.”. Ngưỡng ghi “quy ước của khóa học” lấy từ khóa học, không phải từ sách.</t>
  </si>
  <si>
    <t>Kết quả</t>
  </si>
  <si>
    <t>Công cụ (ảnh chụp)</t>
  </si>
  <si>
    <t>Excel (công thức)</t>
  </si>
  <si>
    <t>|Chênh lệch|</t>
  </si>
  <si>
    <t>Trạng thái</t>
  </si>
  <si>
    <t>Số dòng của file phát triển</t>
  </si>
  <si>
    <t>Số cột vai trò Hệ thống</t>
  </si>
  <si>
    <t>Số cột vai trò Phân khúc</t>
  </si>
  <si>
    <t>Số cột vai trò Đặc trưng</t>
  </si>
  <si>
    <t>Số cột vai trò Bỏ qua (quy tắc chính sách)</t>
  </si>
  <si>
    <t>Số kết quả khớp</t>
  </si>
  <si>
    <t>Dung sai: số đếm phải khớp tuyệt đối; tỷ lệ và chỉ số đến 1e-6 trừ khi ghi khác. Công cụ làm tròn số hiển thị (ví dụ 0,116), nên hãy so giá trị Excel với ảnh chụp ở cùng số chữ số thập phân.</t>
  </si>
  <si>
    <t>Công cụ — Tải dữ liệu (các file dùng)</t>
  </si>
  <si>
    <t>Công cụ — Vai trò của cột (theo từ điển dữ liệu)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</si>
</sst>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333333"/>
      <name val="Calibri"/>
      <family val="2"/>
      <scheme val="minor"/>
    </font>
    <font>
      <b/>
      <sz val="11"/>
      <color rgb="FF7A5C00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7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8E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164" fontId="0" fillId="4" borderId="0" xfId="0" applyNumberFormat="1" applyFill="1"/>
    <xf numFmtId="0" fontId="0" fillId="4" borderId="0" xfId="0" applyFill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3" fontId="0" fillId="0" borderId="0" xfId="0" applyNumberFormat="1" applyAlignment="1">
      <alignment vertical="top"/>
    </xf>
    <xf numFmtId="0" fontId="2" fillId="3" borderId="1" xfId="0" applyFont="1" applyFill="1" applyBorder="1" applyAlignment="1">
      <alignment vertical="top"/>
    </xf>
    <xf numFmtId="3" fontId="0" fillId="4" borderId="0" xfId="0" applyNumberFormat="1" applyFill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17</xdr:col>
      <xdr:colOff>114300</xdr:colOff>
      <xdr:row>16</xdr:row>
      <xdr:rowOff>142107</xdr:rowOff>
    </xdr:to>
    <xdr:pic>
      <xdr:nvPicPr>
        <xdr:cNvPr id="2" name="Picture 1" descr="Q01a_files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0477500" cy="29996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11</xdr:col>
      <xdr:colOff>76200</xdr:colOff>
      <xdr:row>77</xdr:row>
      <xdr:rowOff>95250</xdr:rowOff>
    </xdr:to>
    <xdr:pic>
      <xdr:nvPicPr>
        <xdr:cNvPr id="3" name="Picture 2" descr="Q01b_columns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6781800" cy="10953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3" sqref="A3:B3"/>
    </sheetView>
  </sheetViews>
  <sheetFormatPr defaultRowHeight="14.25" x14ac:dyDescent="0.45"/>
  <cols>
    <col min="1" max="1" width="26.73046875" customWidth="1"/>
    <col min="2" max="2" width="110.73046875" customWidth="1"/>
  </cols>
  <sheetData>
    <row r="1" spans="1:2" ht="18" x14ac:dyDescent="0.55000000000000004">
      <c r="A1" s="1" t="s">
        <v>165</v>
      </c>
    </row>
    <row r="3" spans="1:2" ht="32" customHeight="1" x14ac:dyDescent="0.45">
      <c r="A3" s="11" t="s">
        <v>166</v>
      </c>
      <c r="B3" s="11"/>
    </row>
    <row r="5" spans="1:2" x14ac:dyDescent="0.45">
      <c r="A5" s="3" t="s">
        <v>167</v>
      </c>
      <c r="B5" s="3" t="s">
        <v>168</v>
      </c>
    </row>
    <row r="6" spans="1:2" x14ac:dyDescent="0.45">
      <c r="A6" s="4" t="s">
        <v>169</v>
      </c>
      <c r="B6" s="2" t="s">
        <v>170</v>
      </c>
    </row>
    <row r="7" spans="1:2" x14ac:dyDescent="0.45">
      <c r="A7" s="4" t="s">
        <v>171</v>
      </c>
      <c r="B7" s="2" t="s">
        <v>172</v>
      </c>
    </row>
    <row r="9" spans="1:2" x14ac:dyDescent="0.45">
      <c r="A9" s="4" t="s">
        <v>173</v>
      </c>
      <c r="B9" s="2" t="s">
        <v>174</v>
      </c>
    </row>
    <row r="10" spans="1:2" ht="28.5" x14ac:dyDescent="0.45">
      <c r="A10" s="4" t="s">
        <v>175</v>
      </c>
      <c r="B10" s="2" t="s">
        <v>176</v>
      </c>
    </row>
    <row r="11" spans="1:2" ht="28.5" x14ac:dyDescent="0.45">
      <c r="A11" s="4" t="s">
        <v>177</v>
      </c>
      <c r="B11" s="2" t="s">
        <v>178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F9" sqref="F9"/>
    </sheetView>
  </sheetViews>
  <sheetFormatPr defaultRowHeight="14.25" x14ac:dyDescent="0.45"/>
  <cols>
    <col min="1" max="1" width="34.1328125" style="15" customWidth="1"/>
    <col min="2" max="2" width="9.06640625" style="15" customWidth="1"/>
    <col min="3" max="3" width="19.33203125" style="15" customWidth="1"/>
    <col min="4" max="4" width="18.73046875" style="15" customWidth="1"/>
    <col min="5" max="5" width="39.86328125" style="15" customWidth="1"/>
    <col min="6" max="6" width="38.73046875" style="15" customWidth="1"/>
    <col min="7" max="16384" width="9.06640625" style="15"/>
  </cols>
  <sheetData>
    <row r="1" spans="1:6" ht="18" x14ac:dyDescent="0.45">
      <c r="A1" s="14" t="s">
        <v>0</v>
      </c>
    </row>
    <row r="2" spans="1:6" x14ac:dyDescent="0.45">
      <c r="A2" s="12" t="s">
        <v>1</v>
      </c>
      <c r="B2" s="12"/>
      <c r="C2" s="12"/>
      <c r="D2" s="12"/>
      <c r="E2" s="12"/>
      <c r="F2" s="12"/>
    </row>
    <row r="4" spans="1:6" x14ac:dyDescent="0.4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45" customHeight="1" x14ac:dyDescent="0.45">
      <c r="A5" s="16" t="s">
        <v>8</v>
      </c>
      <c r="B5" s="17">
        <v>66000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1:6" ht="45" customHeight="1" x14ac:dyDescent="0.45">
      <c r="A6" s="16" t="s">
        <v>13</v>
      </c>
      <c r="B6" s="17">
        <v>59000</v>
      </c>
      <c r="C6" s="2" t="s">
        <v>14</v>
      </c>
      <c r="D6" s="15" t="s">
        <v>15</v>
      </c>
      <c r="E6" s="2" t="s">
        <v>16</v>
      </c>
      <c r="F6" s="2" t="s">
        <v>17</v>
      </c>
    </row>
    <row r="7" spans="1:6" ht="45" customHeight="1" x14ac:dyDescent="0.45">
      <c r="A7" s="16" t="s">
        <v>18</v>
      </c>
      <c r="B7" s="17">
        <v>11871</v>
      </c>
      <c r="C7" s="2" t="s">
        <v>19</v>
      </c>
      <c r="D7" s="2" t="s">
        <v>20</v>
      </c>
      <c r="E7" s="2" t="s">
        <v>21</v>
      </c>
      <c r="F7" s="2" t="s">
        <v>22</v>
      </c>
    </row>
    <row r="8" spans="1:6" ht="45" customHeight="1" x14ac:dyDescent="0.45">
      <c r="A8" s="16" t="s">
        <v>23</v>
      </c>
      <c r="B8" s="17">
        <v>8000</v>
      </c>
      <c r="C8" s="2" t="s">
        <v>24</v>
      </c>
      <c r="D8" s="2" t="s">
        <v>25</v>
      </c>
      <c r="E8" s="2" t="s">
        <v>26</v>
      </c>
      <c r="F8" s="2" t="s">
        <v>27</v>
      </c>
    </row>
    <row r="9" spans="1:6" ht="45" customHeight="1" x14ac:dyDescent="0.45">
      <c r="A9" s="16" t="s">
        <v>28</v>
      </c>
      <c r="B9" s="17">
        <v>17032</v>
      </c>
      <c r="C9" s="2" t="s">
        <v>29</v>
      </c>
      <c r="D9" s="2" t="s">
        <v>30</v>
      </c>
      <c r="E9" s="2" t="s">
        <v>31</v>
      </c>
      <c r="F9" s="2" t="s">
        <v>32</v>
      </c>
    </row>
    <row r="10" spans="1:6" ht="45" customHeight="1" x14ac:dyDescent="0.45">
      <c r="A10" s="16" t="s">
        <v>33</v>
      </c>
      <c r="B10" s="17">
        <v>29</v>
      </c>
      <c r="C10" s="2" t="s">
        <v>34</v>
      </c>
      <c r="D10" s="2" t="s">
        <v>35</v>
      </c>
      <c r="E10" s="2" t="s">
        <v>36</v>
      </c>
      <c r="F10" s="2" t="s">
        <v>37</v>
      </c>
    </row>
    <row r="12" spans="1:6" x14ac:dyDescent="0.45">
      <c r="A12" s="18" t="s">
        <v>38</v>
      </c>
      <c r="B12" s="18"/>
    </row>
    <row r="13" spans="1:6" ht="57" x14ac:dyDescent="0.45">
      <c r="A13" s="5" t="s">
        <v>3</v>
      </c>
      <c r="B13" s="6" t="s">
        <v>39</v>
      </c>
    </row>
    <row r="14" spans="1:6" ht="28.5" x14ac:dyDescent="0.45">
      <c r="A14" s="5" t="s">
        <v>4</v>
      </c>
      <c r="B14" s="6" t="s">
        <v>40</v>
      </c>
    </row>
    <row r="15" spans="1:6" ht="57" x14ac:dyDescent="0.45">
      <c r="A15" s="5" t="s">
        <v>41</v>
      </c>
      <c r="B15" s="6" t="s">
        <v>42</v>
      </c>
    </row>
  </sheetData>
  <mergeCells count="2">
    <mergeCell ref="A2:F2"/>
    <mergeCell ref="A12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zoomScale="80" zoomScaleNormal="80" workbookViewId="0">
      <selection activeCell="H12" sqref="H12"/>
    </sheetView>
  </sheetViews>
  <sheetFormatPr defaultRowHeight="14.25" x14ac:dyDescent="0.45"/>
  <cols>
    <col min="1" max="1" width="20.73046875" style="15" customWidth="1"/>
    <col min="2" max="2" width="48" style="15" customWidth="1"/>
    <col min="3" max="4" width="10.73046875" style="15" customWidth="1"/>
    <col min="5" max="5" width="26.73046875" style="15" customWidth="1"/>
    <col min="6" max="6" width="12.59765625" style="15" customWidth="1"/>
    <col min="7" max="7" width="52.73046875" style="15" customWidth="1"/>
    <col min="8" max="8" width="60.73046875" style="15" customWidth="1"/>
    <col min="9" max="9" width="46.73046875" style="15" customWidth="1"/>
    <col min="10" max="16384" width="9.06640625" style="15"/>
  </cols>
  <sheetData>
    <row r="1" spans="1:9" ht="18" x14ac:dyDescent="0.45">
      <c r="A1" s="14" t="s">
        <v>43</v>
      </c>
    </row>
    <row r="2" spans="1:9" x14ac:dyDescent="0.45">
      <c r="A2" s="12" t="s">
        <v>44</v>
      </c>
      <c r="B2" s="12"/>
      <c r="C2" s="12"/>
      <c r="D2" s="12"/>
      <c r="E2" s="12"/>
      <c r="F2" s="12"/>
      <c r="G2" s="12"/>
      <c r="H2" s="12"/>
      <c r="I2" s="12"/>
    </row>
    <row r="4" spans="1:9" x14ac:dyDescent="0.45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</row>
    <row r="5" spans="1:9" ht="28.5" x14ac:dyDescent="0.45">
      <c r="A5" s="16" t="s">
        <v>54</v>
      </c>
      <c r="B5" s="2" t="s">
        <v>55</v>
      </c>
      <c r="C5" s="2" t="s">
        <v>56</v>
      </c>
      <c r="D5" s="2" t="s">
        <v>57</v>
      </c>
      <c r="E5" s="2"/>
      <c r="F5" s="2" t="s">
        <v>57</v>
      </c>
      <c r="G5" s="2" t="s">
        <v>58</v>
      </c>
      <c r="H5" s="2"/>
      <c r="I5" s="2" t="s">
        <v>55</v>
      </c>
    </row>
    <row r="6" spans="1:9" ht="28.5" x14ac:dyDescent="0.45">
      <c r="A6" s="16" t="s">
        <v>59</v>
      </c>
      <c r="B6" s="2" t="s">
        <v>60</v>
      </c>
      <c r="C6" s="2" t="s">
        <v>61</v>
      </c>
      <c r="D6" s="2" t="s">
        <v>57</v>
      </c>
      <c r="E6" s="2"/>
      <c r="F6" s="2" t="s">
        <v>57</v>
      </c>
      <c r="G6" s="2" t="s">
        <v>58</v>
      </c>
      <c r="H6" s="2"/>
      <c r="I6" s="2" t="s">
        <v>60</v>
      </c>
    </row>
    <row r="7" spans="1:9" ht="28.5" x14ac:dyDescent="0.45">
      <c r="A7" s="16" t="s">
        <v>62</v>
      </c>
      <c r="B7" s="2" t="s">
        <v>63</v>
      </c>
      <c r="C7" s="2" t="s">
        <v>64</v>
      </c>
      <c r="D7" s="2" t="s">
        <v>65</v>
      </c>
      <c r="E7" s="2"/>
      <c r="F7" s="2" t="s">
        <v>66</v>
      </c>
      <c r="G7" s="2" t="s">
        <v>67</v>
      </c>
      <c r="H7" s="2"/>
      <c r="I7" s="2" t="s">
        <v>68</v>
      </c>
    </row>
    <row r="8" spans="1:9" ht="28.5" x14ac:dyDescent="0.45">
      <c r="A8" s="16" t="s">
        <v>69</v>
      </c>
      <c r="B8" s="2" t="s">
        <v>70</v>
      </c>
      <c r="C8" s="2" t="s">
        <v>64</v>
      </c>
      <c r="D8" s="2" t="s">
        <v>71</v>
      </c>
      <c r="E8" s="2"/>
      <c r="F8" s="2" t="s">
        <v>66</v>
      </c>
      <c r="G8" s="2" t="s">
        <v>67</v>
      </c>
      <c r="H8" s="2"/>
      <c r="I8" s="2" t="s">
        <v>72</v>
      </c>
    </row>
    <row r="9" spans="1:9" ht="28.5" x14ac:dyDescent="0.45">
      <c r="A9" s="16" t="s">
        <v>73</v>
      </c>
      <c r="B9" s="2" t="s">
        <v>74</v>
      </c>
      <c r="C9" s="2" t="s">
        <v>64</v>
      </c>
      <c r="D9" s="2" t="s">
        <v>65</v>
      </c>
      <c r="E9" s="2"/>
      <c r="F9" s="2" t="s">
        <v>66</v>
      </c>
      <c r="G9" s="2" t="s">
        <v>67</v>
      </c>
      <c r="H9" s="2"/>
      <c r="I9" s="2" t="s">
        <v>75</v>
      </c>
    </row>
    <row r="10" spans="1:9" ht="28.5" x14ac:dyDescent="0.45">
      <c r="A10" s="16" t="s">
        <v>76</v>
      </c>
      <c r="B10" s="2" t="s">
        <v>77</v>
      </c>
      <c r="C10" s="2" t="s">
        <v>64</v>
      </c>
      <c r="D10" s="2" t="s">
        <v>65</v>
      </c>
      <c r="E10" s="2"/>
      <c r="F10" s="2" t="s">
        <v>66</v>
      </c>
      <c r="G10" s="2" t="s">
        <v>67</v>
      </c>
      <c r="H10" s="2"/>
      <c r="I10" s="2" t="s">
        <v>78</v>
      </c>
    </row>
    <row r="11" spans="1:9" ht="28.5" x14ac:dyDescent="0.45">
      <c r="A11" s="16" t="s">
        <v>79</v>
      </c>
      <c r="B11" s="2" t="s">
        <v>80</v>
      </c>
      <c r="C11" s="2" t="s">
        <v>81</v>
      </c>
      <c r="D11" s="2" t="s">
        <v>65</v>
      </c>
      <c r="E11" s="2" t="s">
        <v>82</v>
      </c>
      <c r="F11" s="2" t="s">
        <v>83</v>
      </c>
      <c r="G11" s="2" t="s">
        <v>84</v>
      </c>
      <c r="H11" s="2"/>
      <c r="I11" s="2" t="s">
        <v>80</v>
      </c>
    </row>
    <row r="12" spans="1:9" ht="28.5" x14ac:dyDescent="0.45">
      <c r="A12" s="16" t="s">
        <v>85</v>
      </c>
      <c r="B12" s="2" t="s">
        <v>86</v>
      </c>
      <c r="C12" s="2" t="s">
        <v>81</v>
      </c>
      <c r="D12" s="2" t="s">
        <v>65</v>
      </c>
      <c r="E12" s="2" t="s">
        <v>87</v>
      </c>
      <c r="F12" s="2" t="s">
        <v>83</v>
      </c>
      <c r="G12" s="2" t="s">
        <v>84</v>
      </c>
      <c r="H12" s="2" t="s">
        <v>88</v>
      </c>
      <c r="I12" s="2" t="s">
        <v>86</v>
      </c>
    </row>
    <row r="13" spans="1:9" ht="28.5" x14ac:dyDescent="0.45">
      <c r="A13" s="16" t="s">
        <v>89</v>
      </c>
      <c r="B13" s="2" t="s">
        <v>90</v>
      </c>
      <c r="C13" s="2" t="s">
        <v>64</v>
      </c>
      <c r="D13" s="2" t="s">
        <v>65</v>
      </c>
      <c r="E13" s="2" t="s">
        <v>87</v>
      </c>
      <c r="F13" s="2" t="s">
        <v>83</v>
      </c>
      <c r="G13" s="2" t="s">
        <v>84</v>
      </c>
      <c r="H13" s="2" t="s">
        <v>91</v>
      </c>
      <c r="I13" s="2" t="s">
        <v>90</v>
      </c>
    </row>
    <row r="14" spans="1:9" ht="28.5" x14ac:dyDescent="0.45">
      <c r="A14" s="16" t="s">
        <v>92</v>
      </c>
      <c r="B14" s="2" t="s">
        <v>93</v>
      </c>
      <c r="C14" s="2" t="s">
        <v>64</v>
      </c>
      <c r="D14" s="2" t="s">
        <v>65</v>
      </c>
      <c r="E14" s="2" t="s">
        <v>87</v>
      </c>
      <c r="F14" s="2" t="s">
        <v>83</v>
      </c>
      <c r="G14" s="2" t="s">
        <v>84</v>
      </c>
      <c r="H14" s="2"/>
      <c r="I14" s="2" t="s">
        <v>93</v>
      </c>
    </row>
    <row r="15" spans="1:9" ht="28.5" x14ac:dyDescent="0.45">
      <c r="A15" s="16" t="s">
        <v>94</v>
      </c>
      <c r="B15" s="2" t="s">
        <v>95</v>
      </c>
      <c r="C15" s="2" t="s">
        <v>64</v>
      </c>
      <c r="D15" s="2" t="s">
        <v>65</v>
      </c>
      <c r="E15" s="2" t="s">
        <v>96</v>
      </c>
      <c r="F15" s="2" t="s">
        <v>83</v>
      </c>
      <c r="G15" s="2" t="s">
        <v>84</v>
      </c>
      <c r="H15" s="2"/>
      <c r="I15" s="2" t="s">
        <v>97</v>
      </c>
    </row>
    <row r="16" spans="1:9" ht="42.75" x14ac:dyDescent="0.45">
      <c r="A16" s="16" t="s">
        <v>98</v>
      </c>
      <c r="B16" s="2" t="s">
        <v>99</v>
      </c>
      <c r="C16" s="2" t="s">
        <v>81</v>
      </c>
      <c r="D16" s="2" t="s">
        <v>65</v>
      </c>
      <c r="E16" s="2" t="s">
        <v>82</v>
      </c>
      <c r="F16" s="2" t="s">
        <v>83</v>
      </c>
      <c r="G16" s="2" t="s">
        <v>84</v>
      </c>
      <c r="H16" s="2" t="s">
        <v>100</v>
      </c>
      <c r="I16" s="2" t="s">
        <v>99</v>
      </c>
    </row>
    <row r="17" spans="1:9" ht="28.5" x14ac:dyDescent="0.45">
      <c r="A17" s="16" t="s">
        <v>101</v>
      </c>
      <c r="B17" s="2" t="s">
        <v>102</v>
      </c>
      <c r="C17" s="2" t="s">
        <v>81</v>
      </c>
      <c r="D17" s="2" t="s">
        <v>65</v>
      </c>
      <c r="E17" s="2" t="s">
        <v>87</v>
      </c>
      <c r="F17" s="2" t="s">
        <v>83</v>
      </c>
      <c r="G17" s="2" t="s">
        <v>84</v>
      </c>
      <c r="H17" s="2" t="s">
        <v>103</v>
      </c>
      <c r="I17" s="2" t="s">
        <v>102</v>
      </c>
    </row>
    <row r="18" spans="1:9" ht="28.5" x14ac:dyDescent="0.45">
      <c r="A18" s="16" t="s">
        <v>104</v>
      </c>
      <c r="B18" s="2" t="s">
        <v>105</v>
      </c>
      <c r="C18" s="2" t="s">
        <v>81</v>
      </c>
      <c r="D18" s="2" t="s">
        <v>65</v>
      </c>
      <c r="E18" s="2" t="s">
        <v>82</v>
      </c>
      <c r="F18" s="2" t="s">
        <v>83</v>
      </c>
      <c r="G18" s="2" t="s">
        <v>84</v>
      </c>
      <c r="H18" s="2" t="s">
        <v>106</v>
      </c>
      <c r="I18" s="2" t="s">
        <v>105</v>
      </c>
    </row>
    <row r="19" spans="1:9" ht="28.5" x14ac:dyDescent="0.45">
      <c r="A19" s="16" t="s">
        <v>107</v>
      </c>
      <c r="B19" s="2" t="s">
        <v>108</v>
      </c>
      <c r="C19" s="2" t="s">
        <v>81</v>
      </c>
      <c r="D19" s="2" t="s">
        <v>109</v>
      </c>
      <c r="E19" s="2" t="s">
        <v>110</v>
      </c>
      <c r="F19" s="2" t="s">
        <v>83</v>
      </c>
      <c r="G19" s="2" t="s">
        <v>84</v>
      </c>
      <c r="H19" s="2" t="s">
        <v>111</v>
      </c>
      <c r="I19" s="2" t="s">
        <v>108</v>
      </c>
    </row>
    <row r="20" spans="1:9" ht="28.5" x14ac:dyDescent="0.45">
      <c r="A20" s="16" t="s">
        <v>112</v>
      </c>
      <c r="B20" s="2" t="s">
        <v>113</v>
      </c>
      <c r="C20" s="2" t="s">
        <v>81</v>
      </c>
      <c r="D20" s="2" t="s">
        <v>109</v>
      </c>
      <c r="E20" s="2" t="s">
        <v>114</v>
      </c>
      <c r="F20" s="2" t="s">
        <v>83</v>
      </c>
      <c r="G20" s="2" t="s">
        <v>84</v>
      </c>
      <c r="H20" s="2" t="s">
        <v>115</v>
      </c>
      <c r="I20" s="2" t="s">
        <v>113</v>
      </c>
    </row>
    <row r="21" spans="1:9" ht="28.5" x14ac:dyDescent="0.45">
      <c r="A21" s="16" t="s">
        <v>116</v>
      </c>
      <c r="B21" s="2" t="s">
        <v>117</v>
      </c>
      <c r="C21" s="2" t="s">
        <v>81</v>
      </c>
      <c r="D21" s="2" t="s">
        <v>109</v>
      </c>
      <c r="E21" s="2" t="s">
        <v>114</v>
      </c>
      <c r="F21" s="2" t="s">
        <v>83</v>
      </c>
      <c r="G21" s="2" t="s">
        <v>84</v>
      </c>
      <c r="H21" s="2" t="s">
        <v>118</v>
      </c>
      <c r="I21" s="2" t="s">
        <v>117</v>
      </c>
    </row>
    <row r="22" spans="1:9" ht="28.5" x14ac:dyDescent="0.45">
      <c r="A22" s="16" t="s">
        <v>119</v>
      </c>
      <c r="B22" s="2" t="s">
        <v>120</v>
      </c>
      <c r="C22" s="2" t="s">
        <v>81</v>
      </c>
      <c r="D22" s="2" t="s">
        <v>109</v>
      </c>
      <c r="E22" s="2" t="s">
        <v>114</v>
      </c>
      <c r="F22" s="2" t="s">
        <v>83</v>
      </c>
      <c r="G22" s="2" t="s">
        <v>84</v>
      </c>
      <c r="H22" s="2"/>
      <c r="I22" s="2" t="s">
        <v>120</v>
      </c>
    </row>
    <row r="23" spans="1:9" ht="28.5" x14ac:dyDescent="0.45">
      <c r="A23" s="16" t="s">
        <v>121</v>
      </c>
      <c r="B23" s="2" t="s">
        <v>122</v>
      </c>
      <c r="C23" s="2" t="s">
        <v>81</v>
      </c>
      <c r="D23" s="2" t="s">
        <v>109</v>
      </c>
      <c r="E23" s="2" t="s">
        <v>110</v>
      </c>
      <c r="F23" s="2" t="s">
        <v>83</v>
      </c>
      <c r="G23" s="2" t="s">
        <v>84</v>
      </c>
      <c r="H23" s="2" t="s">
        <v>123</v>
      </c>
      <c r="I23" s="2" t="s">
        <v>122</v>
      </c>
    </row>
    <row r="24" spans="1:9" ht="28.5" x14ac:dyDescent="0.45">
      <c r="A24" s="16" t="s">
        <v>124</v>
      </c>
      <c r="B24" s="2" t="s">
        <v>125</v>
      </c>
      <c r="C24" s="2" t="s">
        <v>81</v>
      </c>
      <c r="D24" s="2" t="s">
        <v>109</v>
      </c>
      <c r="E24" s="2" t="s">
        <v>110</v>
      </c>
      <c r="F24" s="2" t="s">
        <v>83</v>
      </c>
      <c r="G24" s="2" t="s">
        <v>84</v>
      </c>
      <c r="H24" s="2" t="s">
        <v>126</v>
      </c>
      <c r="I24" s="2" t="s">
        <v>125</v>
      </c>
    </row>
    <row r="25" spans="1:9" ht="28.5" x14ac:dyDescent="0.45">
      <c r="A25" s="16" t="s">
        <v>127</v>
      </c>
      <c r="B25" s="2" t="s">
        <v>128</v>
      </c>
      <c r="C25" s="2" t="s">
        <v>81</v>
      </c>
      <c r="D25" s="2" t="s">
        <v>71</v>
      </c>
      <c r="E25" s="2" t="s">
        <v>96</v>
      </c>
      <c r="F25" s="2" t="s">
        <v>83</v>
      </c>
      <c r="G25" s="2" t="s">
        <v>84</v>
      </c>
      <c r="H25" s="2" t="s">
        <v>129</v>
      </c>
      <c r="I25" s="2" t="s">
        <v>128</v>
      </c>
    </row>
    <row r="26" spans="1:9" ht="42.75" x14ac:dyDescent="0.45">
      <c r="A26" s="16" t="s">
        <v>130</v>
      </c>
      <c r="B26" s="2" t="s">
        <v>131</v>
      </c>
      <c r="C26" s="2" t="s">
        <v>81</v>
      </c>
      <c r="D26" s="2" t="s">
        <v>109</v>
      </c>
      <c r="E26" s="2" t="s">
        <v>110</v>
      </c>
      <c r="F26" s="2" t="s">
        <v>132</v>
      </c>
      <c r="G26" s="2" t="s">
        <v>133</v>
      </c>
      <c r="H26" s="2" t="s">
        <v>134</v>
      </c>
      <c r="I26" s="2" t="s">
        <v>131</v>
      </c>
    </row>
    <row r="27" spans="1:9" ht="57" x14ac:dyDescent="0.45">
      <c r="A27" s="16" t="s">
        <v>135</v>
      </c>
      <c r="B27" s="2" t="s">
        <v>136</v>
      </c>
      <c r="C27" s="2" t="s">
        <v>64</v>
      </c>
      <c r="D27" s="2" t="s">
        <v>57</v>
      </c>
      <c r="E27" s="2"/>
      <c r="F27" s="2" t="s">
        <v>57</v>
      </c>
      <c r="G27" s="2" t="s">
        <v>58</v>
      </c>
      <c r="H27" s="2" t="s">
        <v>137</v>
      </c>
      <c r="I27" s="2" t="s">
        <v>138</v>
      </c>
    </row>
    <row r="28" spans="1:9" ht="71.25" x14ac:dyDescent="0.45">
      <c r="A28" s="16" t="s">
        <v>139</v>
      </c>
      <c r="B28" s="2" t="s">
        <v>140</v>
      </c>
      <c r="C28" s="2" t="s">
        <v>64</v>
      </c>
      <c r="D28" s="2" t="s">
        <v>57</v>
      </c>
      <c r="E28" s="2"/>
      <c r="F28" s="2" t="s">
        <v>57</v>
      </c>
      <c r="G28" s="2" t="s">
        <v>58</v>
      </c>
      <c r="H28" s="2" t="s">
        <v>141</v>
      </c>
      <c r="I28" s="2" t="s">
        <v>142</v>
      </c>
    </row>
    <row r="29" spans="1:9" ht="28.5" x14ac:dyDescent="0.45">
      <c r="A29" s="16" t="s">
        <v>143</v>
      </c>
      <c r="B29" s="2" t="s">
        <v>144</v>
      </c>
      <c r="C29" s="2" t="s">
        <v>64</v>
      </c>
      <c r="D29" s="2" t="s">
        <v>57</v>
      </c>
      <c r="E29" s="2"/>
      <c r="F29" s="2" t="s">
        <v>57</v>
      </c>
      <c r="G29" s="2" t="s">
        <v>58</v>
      </c>
      <c r="H29" s="2"/>
      <c r="I29" s="2" t="s">
        <v>144</v>
      </c>
    </row>
    <row r="30" spans="1:9" ht="28.5" x14ac:dyDescent="0.45">
      <c r="A30" s="16" t="s">
        <v>145</v>
      </c>
      <c r="B30" s="2" t="s">
        <v>146</v>
      </c>
      <c r="C30" s="2" t="s">
        <v>64</v>
      </c>
      <c r="D30" s="2" t="s">
        <v>57</v>
      </c>
      <c r="E30" s="2"/>
      <c r="F30" s="2" t="s">
        <v>57</v>
      </c>
      <c r="G30" s="2" t="s">
        <v>58</v>
      </c>
      <c r="H30" s="2"/>
      <c r="I30" s="2" t="s">
        <v>147</v>
      </c>
    </row>
    <row r="31" spans="1:9" ht="28.5" x14ac:dyDescent="0.45">
      <c r="A31" s="16" t="s">
        <v>148</v>
      </c>
      <c r="B31" s="2" t="s">
        <v>149</v>
      </c>
      <c r="C31" s="2" t="s">
        <v>81</v>
      </c>
      <c r="D31" s="2" t="s">
        <v>57</v>
      </c>
      <c r="E31" s="2"/>
      <c r="F31" s="2" t="s">
        <v>57</v>
      </c>
      <c r="G31" s="2" t="s">
        <v>58</v>
      </c>
      <c r="H31" s="2"/>
      <c r="I31" s="2" t="s">
        <v>149</v>
      </c>
    </row>
    <row r="32" spans="1:9" ht="28.5" x14ac:dyDescent="0.45">
      <c r="A32" s="16" t="s">
        <v>150</v>
      </c>
      <c r="B32" s="2" t="s">
        <v>151</v>
      </c>
      <c r="C32" s="2" t="s">
        <v>152</v>
      </c>
      <c r="D32" s="2" t="s">
        <v>57</v>
      </c>
      <c r="E32" s="2"/>
      <c r="F32" s="2" t="s">
        <v>57</v>
      </c>
      <c r="G32" s="2" t="s">
        <v>58</v>
      </c>
      <c r="H32" s="2"/>
      <c r="I32" s="2" t="s">
        <v>153</v>
      </c>
    </row>
    <row r="33" spans="1:9" ht="28.5" x14ac:dyDescent="0.45">
      <c r="A33" s="16" t="s">
        <v>154</v>
      </c>
      <c r="B33" s="2" t="s">
        <v>155</v>
      </c>
      <c r="C33" s="2" t="s">
        <v>81</v>
      </c>
      <c r="D33" s="2" t="s">
        <v>57</v>
      </c>
      <c r="E33" s="2"/>
      <c r="F33" s="2" t="s">
        <v>57</v>
      </c>
      <c r="G33" s="2" t="s">
        <v>58</v>
      </c>
      <c r="H33" s="2" t="s">
        <v>156</v>
      </c>
      <c r="I33" s="2" t="s">
        <v>157</v>
      </c>
    </row>
    <row r="35" spans="1:9" x14ac:dyDescent="0.45">
      <c r="A35" s="18" t="s">
        <v>38</v>
      </c>
      <c r="B35" s="18"/>
    </row>
    <row r="36" spans="1:9" ht="57" x14ac:dyDescent="0.45">
      <c r="A36" s="5" t="s">
        <v>50</v>
      </c>
      <c r="B36" s="6" t="s">
        <v>158</v>
      </c>
    </row>
    <row r="37" spans="1:9" ht="42.75" x14ac:dyDescent="0.45">
      <c r="A37" s="5" t="s">
        <v>48</v>
      </c>
      <c r="B37" s="6" t="s">
        <v>159</v>
      </c>
    </row>
    <row r="38" spans="1:9" x14ac:dyDescent="0.45">
      <c r="A38" s="5" t="s">
        <v>160</v>
      </c>
      <c r="B38" s="6" t="s">
        <v>161</v>
      </c>
    </row>
    <row r="40" spans="1:9" x14ac:dyDescent="0.45">
      <c r="A40" s="3" t="s">
        <v>50</v>
      </c>
      <c r="B40" s="3" t="s">
        <v>162</v>
      </c>
    </row>
    <row r="41" spans="1:9" x14ac:dyDescent="0.45">
      <c r="A41" s="15" t="s">
        <v>57</v>
      </c>
      <c r="B41" s="19">
        <f>COUNTIF($F$5:$F$33,A41)</f>
        <v>9</v>
      </c>
    </row>
    <row r="42" spans="1:9" x14ac:dyDescent="0.45">
      <c r="A42" s="15" t="s">
        <v>66</v>
      </c>
      <c r="B42" s="19">
        <f>COUNTIF($F$5:$F$33,A42)</f>
        <v>4</v>
      </c>
    </row>
    <row r="43" spans="1:9" x14ac:dyDescent="0.45">
      <c r="A43" s="15" t="s">
        <v>83</v>
      </c>
      <c r="B43" s="19">
        <f>COUNTIF($F$5:$F$33,A43)</f>
        <v>15</v>
      </c>
    </row>
    <row r="44" spans="1:9" x14ac:dyDescent="0.45">
      <c r="A44" s="15" t="s">
        <v>132</v>
      </c>
      <c r="B44" s="19">
        <f>COUNTIF($F$5:$F$33,A44)</f>
        <v>1</v>
      </c>
    </row>
    <row r="47" spans="1:9" x14ac:dyDescent="0.45">
      <c r="A47" s="20" t="s">
        <v>163</v>
      </c>
    </row>
    <row r="48" spans="1:9" ht="75" customHeight="1" x14ac:dyDescent="0.45">
      <c r="A48" s="13" t="s">
        <v>164</v>
      </c>
      <c r="B48" s="13"/>
      <c r="C48" s="13"/>
      <c r="D48" s="13"/>
      <c r="E48" s="13"/>
      <c r="F48" s="13"/>
      <c r="G48" s="13"/>
      <c r="H48" s="13"/>
      <c r="I48" s="13"/>
    </row>
  </sheetData>
  <mergeCells count="3">
    <mergeCell ref="A2:I2"/>
    <mergeCell ref="A35:B35"/>
    <mergeCell ref="A48:I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B2" sqref="B2:B6"/>
    </sheetView>
  </sheetViews>
  <sheetFormatPr defaultRowHeight="14.25" x14ac:dyDescent="0.45"/>
  <cols>
    <col min="1" max="1" width="58.73046875" customWidth="1"/>
    <col min="2" max="4" width="16.73046875" customWidth="1"/>
    <col min="5" max="5" width="10.73046875" customWidth="1"/>
  </cols>
  <sheetData>
    <row r="1" spans="1:5" x14ac:dyDescent="0.45">
      <c r="A1" s="3" t="s">
        <v>179</v>
      </c>
      <c r="B1" s="3" t="s">
        <v>180</v>
      </c>
      <c r="C1" s="3" t="s">
        <v>181</v>
      </c>
      <c r="D1" s="3" t="s">
        <v>182</v>
      </c>
      <c r="E1" s="3" t="s">
        <v>183</v>
      </c>
    </row>
    <row r="2" spans="1:5" x14ac:dyDescent="0.45">
      <c r="A2" s="2" t="s">
        <v>184</v>
      </c>
      <c r="B2" s="7">
        <v>66000</v>
      </c>
      <c r="C2" s="8">
        <f>Q1a_Files!$B$5</f>
        <v>66000</v>
      </c>
      <c r="D2" s="8">
        <f>ABS(C2-B2)</f>
        <v>0</v>
      </c>
      <c r="E2" s="9" t="str">
        <f>IF(D2&lt;=0,"Khớp","Lệch")</f>
        <v>Khớp</v>
      </c>
    </row>
    <row r="3" spans="1:5" x14ac:dyDescent="0.45">
      <c r="A3" s="2" t="s">
        <v>185</v>
      </c>
      <c r="B3" s="7">
        <v>9</v>
      </c>
      <c r="C3" s="8">
        <f>Q1b_Fields!$B$41</f>
        <v>9</v>
      </c>
      <c r="D3" s="8">
        <f>ABS(C3-B3)</f>
        <v>0</v>
      </c>
      <c r="E3" s="9" t="str">
        <f>IF(D3&lt;=0,"Khớp","Lệch")</f>
        <v>Khớp</v>
      </c>
    </row>
    <row r="4" spans="1:5" x14ac:dyDescent="0.45">
      <c r="A4" s="2" t="s">
        <v>186</v>
      </c>
      <c r="B4" s="7">
        <v>4</v>
      </c>
      <c r="C4" s="8">
        <f>Q1b_Fields!$B$42</f>
        <v>4</v>
      </c>
      <c r="D4" s="8">
        <f>ABS(C4-B4)</f>
        <v>0</v>
      </c>
      <c r="E4" s="9" t="str">
        <f>IF(D4&lt;=0,"Khớp","Lệch")</f>
        <v>Khớp</v>
      </c>
    </row>
    <row r="5" spans="1:5" x14ac:dyDescent="0.45">
      <c r="A5" s="2" t="s">
        <v>187</v>
      </c>
      <c r="B5" s="7">
        <v>15</v>
      </c>
      <c r="C5" s="8">
        <f>Q1b_Fields!$B$43</f>
        <v>15</v>
      </c>
      <c r="D5" s="8">
        <f>ABS(C5-B5)</f>
        <v>0</v>
      </c>
      <c r="E5" s="9" t="str">
        <f>IF(D5&lt;=0,"Khớp","Lệch")</f>
        <v>Khớp</v>
      </c>
    </row>
    <row r="6" spans="1:5" x14ac:dyDescent="0.45">
      <c r="A6" s="2" t="s">
        <v>188</v>
      </c>
      <c r="B6" s="7">
        <v>1</v>
      </c>
      <c r="C6" s="8">
        <f>Q1b_Fields!$B$44</f>
        <v>1</v>
      </c>
      <c r="D6" s="8">
        <f>ABS(C6-B6)</f>
        <v>0</v>
      </c>
      <c r="E6" s="9" t="str">
        <f>IF(D6&lt;=0,"Khớp","Lệch")</f>
        <v>Khớp</v>
      </c>
    </row>
    <row r="8" spans="1:5" x14ac:dyDescent="0.45">
      <c r="A8" s="4" t="s">
        <v>189</v>
      </c>
      <c r="E8" s="9" t="str">
        <f>COUNTIF(E2:E6,"Khớp")&amp;" / 5"</f>
        <v>5 / 5</v>
      </c>
    </row>
    <row r="9" spans="1:5" ht="42.75" x14ac:dyDescent="0.45">
      <c r="A9" s="10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defaultRowHeight="14.25" x14ac:dyDescent="0.45"/>
  <sheetData>
    <row r="1" spans="1:1" x14ac:dyDescent="0.45">
      <c r="A1" s="4" t="s">
        <v>191</v>
      </c>
    </row>
    <row r="20" spans="1:1" x14ac:dyDescent="0.45">
      <c r="A20" s="4" t="s">
        <v>192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Q1a_Files</vt:lpstr>
      <vt:lpstr>Q1b_Fields</vt:lpstr>
      <vt:lpstr>Check</vt:lpstr>
      <vt:lpstr>Tool_snapshot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Nga Pham</cp:lastModifiedBy>
  <dcterms:created xsi:type="dcterms:W3CDTF">2026-10-24T23:46:04Z</dcterms:created>
  <dcterms:modified xsi:type="dcterms:W3CDTF">2026-10-30T16:03:32Z</dcterms:modified>
</cp:coreProperties>
</file>